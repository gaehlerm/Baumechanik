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3" sheetId="2" state="visible" r:id="rId3"/>
  </sheets>
  <definedNames>
    <definedName function="false" hidden="false" localSheetId="0" name="_xlnm.Print_Area" vbProcedure="false">Tabelle1!$A$1:$E$69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<sst xmlns="http://schemas.openxmlformats.org/spreadsheetml/2006/main" count="240" uniqueCount="189">
  <si>
    <t xml:space="preserve">Nr.</t>
  </si>
  <si>
    <t xml:space="preserve">Name</t>
  </si>
  <si>
    <t xml:space="preserve">Vorname</t>
  </si>
  <si>
    <t xml:space="preserve">Adam</t>
  </si>
  <si>
    <t xml:space="preserve">Benjamin</t>
  </si>
  <si>
    <t xml:space="preserve">Aeschlimann</t>
  </si>
  <si>
    <t xml:space="preserve">Marco</t>
  </si>
  <si>
    <t xml:space="preserve">Moritz</t>
  </si>
  <si>
    <t xml:space="preserve">Affentranger</t>
  </si>
  <si>
    <t xml:space="preserve">Marius</t>
  </si>
  <si>
    <t xml:space="preserve">Albrecht</t>
  </si>
  <si>
    <t xml:space="preserve">Noah</t>
  </si>
  <si>
    <t xml:space="preserve">Amacker</t>
  </si>
  <si>
    <t xml:space="preserve">Raphael</t>
  </si>
  <si>
    <t xml:space="preserve">Amrein</t>
  </si>
  <si>
    <t xml:space="preserve">Patrick</t>
  </si>
  <si>
    <t xml:space="preserve">Baccalà</t>
  </si>
  <si>
    <t xml:space="preserve">Steven</t>
  </si>
  <si>
    <t xml:space="preserve">Bergamin</t>
  </si>
  <si>
    <t xml:space="preserve">Jonas</t>
  </si>
  <si>
    <t xml:space="preserve">Bettschart</t>
  </si>
  <si>
    <t xml:space="preserve">Fabian</t>
  </si>
  <si>
    <t xml:space="preserve">Bloderer</t>
  </si>
  <si>
    <t xml:space="preserve">Andrej</t>
  </si>
  <si>
    <t xml:space="preserve">Brügger</t>
  </si>
  <si>
    <t xml:space="preserve">Florian</t>
  </si>
  <si>
    <t xml:space="preserve">Bucher</t>
  </si>
  <si>
    <t xml:space="preserve">Silvan</t>
  </si>
  <si>
    <t xml:space="preserve">Büeler</t>
  </si>
  <si>
    <t xml:space="preserve">Martin</t>
  </si>
  <si>
    <t xml:space="preserve">Cadonau</t>
  </si>
  <si>
    <t xml:space="preserve">Mauro</t>
  </si>
  <si>
    <t xml:space="preserve">Dedic</t>
  </si>
  <si>
    <t xml:space="preserve">Mirza</t>
  </si>
  <si>
    <t xml:space="preserve">Egger</t>
  </si>
  <si>
    <t xml:space="preserve">Nico</t>
  </si>
  <si>
    <t xml:space="preserve">Punkte für 6er:</t>
  </si>
  <si>
    <t xml:space="preserve">Egli</t>
  </si>
  <si>
    <t xml:space="preserve">Adrian</t>
  </si>
  <si>
    <t xml:space="preserve">Emmenegger</t>
  </si>
  <si>
    <t xml:space="preserve">Daniel</t>
  </si>
  <si>
    <t xml:space="preserve">Fehr</t>
  </si>
  <si>
    <t xml:space="preserve">Maximilian</t>
  </si>
  <si>
    <t xml:space="preserve">Fritsche</t>
  </si>
  <si>
    <t xml:space="preserve">Tobias</t>
  </si>
  <si>
    <t xml:space="preserve">Fröhli</t>
  </si>
  <si>
    <t xml:space="preserve">Jannik</t>
  </si>
  <si>
    <t xml:space="preserve">Furger</t>
  </si>
  <si>
    <t xml:space="preserve">Dominik</t>
  </si>
  <si>
    <t xml:space="preserve">Gaber</t>
  </si>
  <si>
    <t xml:space="preserve">Glenn</t>
  </si>
  <si>
    <t xml:space="preserve">Gehringer</t>
  </si>
  <si>
    <t xml:space="preserve">Rinaldo</t>
  </si>
  <si>
    <t xml:space="preserve">Gisler</t>
  </si>
  <si>
    <t xml:space="preserve">Gloor</t>
  </si>
  <si>
    <t xml:space="preserve">Till</t>
  </si>
  <si>
    <t xml:space="preserve">Gut</t>
  </si>
  <si>
    <t xml:space="preserve">Valentin</t>
  </si>
  <si>
    <t xml:space="preserve">Hodel</t>
  </si>
  <si>
    <t xml:space="preserve">Cyril</t>
  </si>
  <si>
    <t xml:space="preserve">Hofmann</t>
  </si>
  <si>
    <t xml:space="preserve">André</t>
  </si>
  <si>
    <t xml:space="preserve">Hug</t>
  </si>
  <si>
    <t xml:space="preserve">Marc</t>
  </si>
  <si>
    <t xml:space="preserve">Iseli</t>
  </si>
  <si>
    <t xml:space="preserve">Severin</t>
  </si>
  <si>
    <t xml:space="preserve">Kälin</t>
  </si>
  <si>
    <t xml:space="preserve">Louis</t>
  </si>
  <si>
    <t xml:space="preserve">Keiser </t>
  </si>
  <si>
    <t xml:space="preserve">Khajjamian</t>
  </si>
  <si>
    <t xml:space="preserve">Sepehr</t>
  </si>
  <si>
    <t xml:space="preserve">Kieliger</t>
  </si>
  <si>
    <t xml:space="preserve">Sandro</t>
  </si>
  <si>
    <t xml:space="preserve">Kühnis</t>
  </si>
  <si>
    <t xml:space="preserve">Isabel</t>
  </si>
  <si>
    <t xml:space="preserve">Lüthi</t>
  </si>
  <si>
    <t xml:space="preserve">Sven</t>
  </si>
  <si>
    <t xml:space="preserve">Markos</t>
  </si>
  <si>
    <t xml:space="preserve">Danijela</t>
  </si>
  <si>
    <t xml:space="preserve">Maurer</t>
  </si>
  <si>
    <t xml:space="preserve">Carol</t>
  </si>
  <si>
    <t xml:space="preserve">Meier</t>
  </si>
  <si>
    <t xml:space="preserve">Basil</t>
  </si>
  <si>
    <t xml:space="preserve">Muff</t>
  </si>
  <si>
    <t xml:space="preserve">Roger</t>
  </si>
  <si>
    <t xml:space="preserve">Müller</t>
  </si>
  <si>
    <t xml:space="preserve">Matthias</t>
  </si>
  <si>
    <t xml:space="preserve">Philip</t>
  </si>
  <si>
    <t xml:space="preserve">Murer</t>
  </si>
  <si>
    <t xml:space="preserve">Mirjam</t>
  </si>
  <si>
    <t xml:space="preserve">Nägeli</t>
  </si>
  <si>
    <t xml:space="preserve">Simon</t>
  </si>
  <si>
    <t xml:space="preserve">Neuenschwander</t>
  </si>
  <si>
    <t xml:space="preserve">Rohrer</t>
  </si>
  <si>
    <t xml:space="preserve">Martina</t>
  </si>
  <si>
    <t xml:space="preserve">Roos</t>
  </si>
  <si>
    <t xml:space="preserve">Roth</t>
  </si>
  <si>
    <t xml:space="preserve">Babette</t>
  </si>
  <si>
    <t xml:space="preserve">Scheidegger</t>
  </si>
  <si>
    <t xml:space="preserve">Robyn Lucia</t>
  </si>
  <si>
    <t xml:space="preserve">Schillimat</t>
  </si>
  <si>
    <t xml:space="preserve">Susanne</t>
  </si>
  <si>
    <t xml:space="preserve">Schnüriger</t>
  </si>
  <si>
    <t xml:space="preserve">Schuler</t>
  </si>
  <si>
    <t xml:space="preserve">Wanja</t>
  </si>
  <si>
    <t xml:space="preserve">Speiser</t>
  </si>
  <si>
    <t xml:space="preserve">Stephan</t>
  </si>
  <si>
    <t xml:space="preserve">Suter</t>
  </si>
  <si>
    <t xml:space="preserve">David</t>
  </si>
  <si>
    <t xml:space="preserve">Jonatan</t>
  </si>
  <si>
    <t xml:space="preserve">Trachsler</t>
  </si>
  <si>
    <t xml:space="preserve">Urwyler</t>
  </si>
  <si>
    <t xml:space="preserve">Vetterli</t>
  </si>
  <si>
    <t xml:space="preserve">Jona</t>
  </si>
  <si>
    <t xml:space="preserve">Villars</t>
  </si>
  <si>
    <t xml:space="preserve">Celin Pascal</t>
  </si>
  <si>
    <t xml:space="preserve">Villiger</t>
  </si>
  <si>
    <t xml:space="preserve">Wirz</t>
  </si>
  <si>
    <t xml:space="preserve">Wyler</t>
  </si>
  <si>
    <t xml:space="preserve">Pascale</t>
  </si>
  <si>
    <t xml:space="preserve">Yersin</t>
  </si>
  <si>
    <t xml:space="preserve">Antoine</t>
  </si>
  <si>
    <t xml:space="preserve">Zeder</t>
  </si>
  <si>
    <t xml:space="preserve">Timon</t>
  </si>
  <si>
    <t xml:space="preserve">Ziegler</t>
  </si>
  <si>
    <t xml:space="preserve">Michèle</t>
  </si>
  <si>
    <t xml:space="preserve">Andenmatten</t>
  </si>
  <si>
    <t xml:space="preserve">Alexander</t>
  </si>
  <si>
    <t xml:space="preserve">Arnold</t>
  </si>
  <si>
    <t xml:space="preserve">Elias</t>
  </si>
  <si>
    <t xml:space="preserve">Bättig</t>
  </si>
  <si>
    <t xml:space="preserve">Franco</t>
  </si>
  <si>
    <t xml:space="preserve">Baumann</t>
  </si>
  <si>
    <t xml:space="preserve">Christian</t>
  </si>
  <si>
    <t xml:space="preserve">Beuggert</t>
  </si>
  <si>
    <t xml:space="preserve">Selina</t>
  </si>
  <si>
    <t xml:space="preserve">Bobst</t>
  </si>
  <si>
    <t xml:space="preserve">Sebastian</t>
  </si>
  <si>
    <t xml:space="preserve">Bucheli</t>
  </si>
  <si>
    <t xml:space="preserve">Yves</t>
  </si>
  <si>
    <t xml:space="preserve">Commerell</t>
  </si>
  <si>
    <t xml:space="preserve">Jan</t>
  </si>
  <si>
    <t xml:space="preserve">Duss</t>
  </si>
  <si>
    <t xml:space="preserve">Erni</t>
  </si>
  <si>
    <t xml:space="preserve">Kevin</t>
  </si>
  <si>
    <t xml:space="preserve">Furrer</t>
  </si>
  <si>
    <t xml:space="preserve">Michael</t>
  </si>
  <si>
    <t xml:space="preserve">Gauch</t>
  </si>
  <si>
    <t xml:space="preserve">Nando</t>
  </si>
  <si>
    <t xml:space="preserve">Gurten</t>
  </si>
  <si>
    <t xml:space="preserve">Diego</t>
  </si>
  <si>
    <t xml:space="preserve">Gygax</t>
  </si>
  <si>
    <t xml:space="preserve">Andreas</t>
  </si>
  <si>
    <t xml:space="preserve">Haab</t>
  </si>
  <si>
    <t xml:space="preserve">Häfliger</t>
  </si>
  <si>
    <t xml:space="preserve">Haussener</t>
  </si>
  <si>
    <t xml:space="preserve">Tizian</t>
  </si>
  <si>
    <t xml:space="preserve">Hofer</t>
  </si>
  <si>
    <t xml:space="preserve">Fabio</t>
  </si>
  <si>
    <t xml:space="preserve">Ivisic</t>
  </si>
  <si>
    <t xml:space="preserve">Katharina</t>
  </si>
  <si>
    <t xml:space="preserve">Remo</t>
  </si>
  <si>
    <t xml:space="preserve">Kryeziu</t>
  </si>
  <si>
    <t xml:space="preserve">Endrit</t>
  </si>
  <si>
    <t xml:space="preserve">Krznaric</t>
  </si>
  <si>
    <t xml:space="preserve">Josip</t>
  </si>
  <si>
    <t xml:space="preserve">Kurmann</t>
  </si>
  <si>
    <t xml:space="preserve">Lochmatter</t>
  </si>
  <si>
    <t xml:space="preserve">Lukas</t>
  </si>
  <si>
    <t xml:space="preserve">Lüscher</t>
  </si>
  <si>
    <t xml:space="preserve">Romain</t>
  </si>
  <si>
    <t xml:space="preserve">Ludovic</t>
  </si>
  <si>
    <t xml:space="preserve">Micha</t>
  </si>
  <si>
    <t xml:space="preserve">Nauer</t>
  </si>
  <si>
    <t xml:space="preserve">Oostenbrug</t>
  </si>
  <si>
    <t xml:space="preserve">Jannic</t>
  </si>
  <si>
    <t xml:space="preserve">Qerimi</t>
  </si>
  <si>
    <t xml:space="preserve">Denis</t>
  </si>
  <si>
    <t xml:space="preserve">Nicolas</t>
  </si>
  <si>
    <t xml:space="preserve">Scheibmayr</t>
  </si>
  <si>
    <t xml:space="preserve">Trüssel</t>
  </si>
  <si>
    <t xml:space="preserve">Tschudi</t>
  </si>
  <si>
    <t xml:space="preserve">von Matt</t>
  </si>
  <si>
    <t xml:space="preserve">Wildhaber</t>
  </si>
  <si>
    <t xml:space="preserve">Nathalie</t>
  </si>
  <si>
    <t xml:space="preserve">Willauer</t>
  </si>
  <si>
    <t xml:space="preserve">Benedikt</t>
  </si>
  <si>
    <t xml:space="preserve">Wyss</t>
  </si>
  <si>
    <t xml:space="preserve">Deborah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</si>
</sst>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0.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Tabelle1!$O$2:$O$12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</c:numCache>
            </c:numRef>
          </c:xVal>
          <c:yVal>
            <c:numRef>
              <c:f>Tabelle1!$P$2:$P$12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10</c:v>
                </c:pt>
                <c:pt idx="6">
                  <c:v>14</c:v>
                </c:pt>
                <c:pt idx="7">
                  <c:v>12</c:v>
                </c:pt>
                <c:pt idx="8">
                  <c:v>15</c:v>
                </c:pt>
                <c:pt idx="9">
                  <c:v>4</c:v>
                </c:pt>
                <c:pt idx="10">
                  <c:v>8</c:v>
                </c:pt>
              </c:numCache>
            </c:numRef>
          </c:yVal>
          <c:smooth val="0"/>
        </c:ser>
        <c:axId val="58349114"/>
        <c:axId val="68927557"/>
      </c:scatterChart>
      <c:valAx>
        <c:axId val="583491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927557"/>
        <c:crosses val="autoZero"/>
        <c:crossBetween val="midCat"/>
      </c:valAx>
      <c:valAx>
        <c:axId val="6892755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34911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471240</xdr:colOff>
      <xdr:row>15</xdr:row>
      <xdr:rowOff>54000</xdr:rowOff>
    </xdr:from>
    <xdr:to>
      <xdr:col>23</xdr:col>
      <xdr:colOff>240840</xdr:colOff>
      <xdr:row>32</xdr:row>
      <xdr:rowOff>51840</xdr:rowOff>
    </xdr:to>
    <xdr:graphicFrame>
      <xdr:nvGraphicFramePr>
        <xdr:cNvPr id="0" name=""/>
        <xdr:cNvGraphicFramePr/>
      </xdr:nvGraphicFramePr>
      <xdr:xfrm>
        <a:off x="9749520" y="2896200"/>
        <a:ext cx="576432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P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3.8" zeroHeight="false" outlineLevelRow="0" outlineLevelCol="0"/>
  <cols>
    <col collapsed="false" customWidth="false" hidden="false" outlineLevel="0" max="1" min="1" style="1" width="11.42"/>
    <col collapsed="false" customWidth="true" hidden="false" outlineLevel="0" max="2" min="2" style="0" width="15.71"/>
    <col collapsed="false" customWidth="true" hidden="false" outlineLevel="0" max="3" min="3" style="0" width="15.57"/>
    <col collapsed="false" customWidth="true" hidden="false" outlineLevel="0" max="4" min="4" style="0" width="6.08"/>
    <col collapsed="false" customWidth="true" hidden="false" outlineLevel="0" max="5" min="5" style="0" width="4.97"/>
    <col collapsed="false" customWidth="true" hidden="false" outlineLevel="0" max="6" min="6" style="0" width="5.1"/>
    <col collapsed="false" customWidth="true" hidden="false" outlineLevel="0" max="7" min="7" style="0" width="5.22"/>
    <col collapsed="false" customWidth="true" hidden="false" outlineLevel="0" max="8" min="8" style="0" width="5.1"/>
    <col collapsed="false" customWidth="true" hidden="false" outlineLevel="0" max="9" min="9" style="0" width="4.73"/>
    <col collapsed="false" customWidth="true" hidden="false" outlineLevel="0" max="10" min="10" style="0" width="4.49"/>
    <col collapsed="false" customWidth="true" hidden="false" outlineLevel="0" max="1025" min="11" style="0" width="10.6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</row>
    <row r="2" customFormat="false" ht="15" hidden="false" customHeight="true" outlineLevel="0" collapsed="false">
      <c r="A2" s="4" t="n">
        <v>1</v>
      </c>
      <c r="B2" s="5" t="s">
        <v>3</v>
      </c>
      <c r="C2" s="5" t="s">
        <v>4</v>
      </c>
      <c r="D2" s="0" t="n">
        <v>5</v>
      </c>
      <c r="E2" s="0" t="n">
        <v>8</v>
      </c>
      <c r="F2" s="6" t="n">
        <v>4</v>
      </c>
      <c r="G2" s="0" t="n">
        <v>2.5</v>
      </c>
      <c r="H2" s="0" t="n">
        <v>3</v>
      </c>
      <c r="I2" s="0" t="n">
        <v>3</v>
      </c>
      <c r="J2" s="0" t="n">
        <v>0</v>
      </c>
      <c r="K2" s="0" t="n">
        <f aca="false">SUM(D2:J2)</f>
        <v>25.5</v>
      </c>
      <c r="L2" s="0" t="n">
        <f aca="false">K2/N$19*5+1</f>
        <v>4.64285714285714</v>
      </c>
      <c r="N2" s="0" t="n">
        <v>0</v>
      </c>
      <c r="O2" s="0" t="n">
        <f aca="false">1+N2/2</f>
        <v>1</v>
      </c>
      <c r="P2" s="0" t="n">
        <f aca="false" t="array" ref="P2:P13">FREQUENCY(L2:L69,O2:O12)</f>
        <v>0</v>
      </c>
    </row>
    <row r="3" customFormat="false" ht="15" hidden="false" customHeight="true" outlineLevel="0" collapsed="false">
      <c r="A3" s="4" t="n">
        <v>2</v>
      </c>
      <c r="B3" s="5" t="s">
        <v>5</v>
      </c>
      <c r="C3" s="5" t="s">
        <v>6</v>
      </c>
      <c r="D3" s="0" t="n">
        <v>7</v>
      </c>
      <c r="E3" s="0" t="n">
        <v>4.5</v>
      </c>
      <c r="F3" s="6" t="n">
        <v>5.5</v>
      </c>
      <c r="G3" s="0" t="n">
        <v>1</v>
      </c>
      <c r="H3" s="0" t="n">
        <v>3</v>
      </c>
      <c r="I3" s="0" t="n">
        <v>3.5</v>
      </c>
      <c r="J3" s="0" t="n">
        <v>1</v>
      </c>
      <c r="K3" s="0" t="n">
        <f aca="false">SUM(D3:J3)</f>
        <v>25.5</v>
      </c>
      <c r="L3" s="0" t="n">
        <f aca="false">K3/N$19*5+1</f>
        <v>4.64285714285714</v>
      </c>
      <c r="N3" s="0" t="n">
        <v>1</v>
      </c>
      <c r="O3" s="0" t="n">
        <f aca="false">1+N3/2</f>
        <v>1.5</v>
      </c>
      <c r="P3" s="0" t="n">
        <v>0</v>
      </c>
    </row>
    <row r="4" customFormat="false" ht="15" hidden="false" customHeight="true" outlineLevel="0" collapsed="false">
      <c r="A4" s="4" t="n">
        <v>3</v>
      </c>
      <c r="B4" s="5" t="s">
        <v>5</v>
      </c>
      <c r="C4" s="5" t="s">
        <v>7</v>
      </c>
      <c r="D4" s="0" t="n">
        <v>6</v>
      </c>
      <c r="E4" s="0" t="n">
        <v>8</v>
      </c>
      <c r="F4" s="6" t="n">
        <v>3</v>
      </c>
      <c r="G4" s="0" t="n">
        <v>2.5</v>
      </c>
      <c r="H4" s="0" t="n">
        <v>4</v>
      </c>
      <c r="I4" s="0" t="n">
        <v>3</v>
      </c>
      <c r="J4" s="0" t="n">
        <v>1.5</v>
      </c>
      <c r="K4" s="0" t="n">
        <f aca="false">SUM(D4:J4)</f>
        <v>28</v>
      </c>
      <c r="L4" s="0" t="n">
        <f aca="false">K4/N$19*5+1</f>
        <v>5</v>
      </c>
      <c r="N4" s="0" t="n">
        <v>2</v>
      </c>
      <c r="O4" s="0" t="n">
        <f aca="false">1+N4/2</f>
        <v>2</v>
      </c>
      <c r="P4" s="0" t="n">
        <v>1</v>
      </c>
    </row>
    <row r="5" customFormat="false" ht="15" hidden="false" customHeight="true" outlineLevel="0" collapsed="false">
      <c r="A5" s="4" t="n">
        <v>4</v>
      </c>
      <c r="B5" s="5" t="s">
        <v>8</v>
      </c>
      <c r="C5" s="5" t="s">
        <v>9</v>
      </c>
      <c r="D5" s="0" t="n">
        <v>0</v>
      </c>
      <c r="E5" s="0" t="n">
        <v>5.5</v>
      </c>
      <c r="F5" s="6" t="n">
        <v>3</v>
      </c>
      <c r="G5" s="0" t="n">
        <v>3</v>
      </c>
      <c r="H5" s="0" t="n">
        <v>1</v>
      </c>
      <c r="I5" s="0" t="n">
        <v>3</v>
      </c>
      <c r="J5" s="0" t="n">
        <v>0.5</v>
      </c>
      <c r="K5" s="0" t="n">
        <f aca="false">SUM(D5:J5)</f>
        <v>16</v>
      </c>
      <c r="L5" s="0" t="n">
        <f aca="false">K5/N$19*5+1</f>
        <v>3.28571428571429</v>
      </c>
      <c r="N5" s="0" t="n">
        <v>3</v>
      </c>
      <c r="O5" s="0" t="n">
        <f aca="false">1+N5/2</f>
        <v>2.5</v>
      </c>
      <c r="P5" s="0" t="n">
        <v>1</v>
      </c>
    </row>
    <row r="6" customFormat="false" ht="15" hidden="false" customHeight="true" outlineLevel="0" collapsed="false">
      <c r="A6" s="4" t="n">
        <v>5</v>
      </c>
      <c r="B6" s="5" t="s">
        <v>10</v>
      </c>
      <c r="C6" s="5" t="s">
        <v>11</v>
      </c>
      <c r="D6" s="0" t="n">
        <v>3.5</v>
      </c>
      <c r="E6" s="0" t="n">
        <v>2.5</v>
      </c>
      <c r="F6" s="6" t="n">
        <v>2.5</v>
      </c>
      <c r="G6" s="0" t="n">
        <v>1</v>
      </c>
      <c r="H6" s="0" t="n">
        <v>2.5</v>
      </c>
      <c r="I6" s="0" t="n">
        <v>0.5</v>
      </c>
      <c r="J6" s="0" t="n">
        <v>0</v>
      </c>
      <c r="K6" s="0" t="n">
        <f aca="false">SUM(D6:J6)</f>
        <v>12.5</v>
      </c>
      <c r="L6" s="0" t="n">
        <f aca="false">K6/N$19*5+1</f>
        <v>2.78571428571429</v>
      </c>
      <c r="N6" s="0" t="n">
        <v>4</v>
      </c>
      <c r="O6" s="0" t="n">
        <f aca="false">1+N6/2</f>
        <v>3</v>
      </c>
      <c r="P6" s="0" t="n">
        <v>2</v>
      </c>
    </row>
    <row r="7" customFormat="false" ht="15" hidden="false" customHeight="true" outlineLevel="0" collapsed="false">
      <c r="A7" s="4" t="n">
        <v>6</v>
      </c>
      <c r="B7" s="5" t="s">
        <v>12</v>
      </c>
      <c r="C7" s="5" t="s">
        <v>13</v>
      </c>
      <c r="D7" s="0" t="n">
        <v>7</v>
      </c>
      <c r="E7" s="0" t="n">
        <v>8</v>
      </c>
      <c r="F7" s="6" t="n">
        <v>6.5</v>
      </c>
      <c r="G7" s="0" t="n">
        <v>1.5</v>
      </c>
      <c r="H7" s="0" t="n">
        <v>0.5</v>
      </c>
      <c r="I7" s="0" t="n">
        <v>4</v>
      </c>
      <c r="J7" s="0" t="n">
        <v>7</v>
      </c>
      <c r="K7" s="0" t="n">
        <f aca="false">SUM(D7:J7)</f>
        <v>34.5</v>
      </c>
      <c r="L7" s="0" t="n">
        <f aca="false">K7/N$19*5+1</f>
        <v>5.92857142857143</v>
      </c>
      <c r="N7" s="0" t="n">
        <v>5</v>
      </c>
      <c r="O7" s="0" t="n">
        <f aca="false">1+N7/2</f>
        <v>3.5</v>
      </c>
      <c r="P7" s="0" t="n">
        <v>10</v>
      </c>
    </row>
    <row r="8" customFormat="false" ht="15" hidden="false" customHeight="true" outlineLevel="0" collapsed="false">
      <c r="A8" s="4" t="n">
        <v>7</v>
      </c>
      <c r="B8" s="5" t="s">
        <v>14</v>
      </c>
      <c r="C8" s="5" t="s">
        <v>15</v>
      </c>
      <c r="D8" s="0" t="n">
        <v>6</v>
      </c>
      <c r="E8" s="0" t="n">
        <v>7.5</v>
      </c>
      <c r="F8" s="6" t="n">
        <v>7.5</v>
      </c>
      <c r="G8" s="0" t="n">
        <v>0.5</v>
      </c>
      <c r="H8" s="0" t="n">
        <v>2</v>
      </c>
      <c r="I8" s="0" t="n">
        <v>5</v>
      </c>
      <c r="J8" s="0" t="n">
        <v>1</v>
      </c>
      <c r="K8" s="0" t="n">
        <f aca="false">SUM(D8:J8)</f>
        <v>29.5</v>
      </c>
      <c r="L8" s="0" t="n">
        <f aca="false">K8/N$19*5+1</f>
        <v>5.21428571428571</v>
      </c>
      <c r="N8" s="0" t="n">
        <v>6</v>
      </c>
      <c r="O8" s="0" t="n">
        <f aca="false">1+N8/2</f>
        <v>4</v>
      </c>
      <c r="P8" s="0" t="n">
        <v>14</v>
      </c>
    </row>
    <row r="9" customFormat="false" ht="15" hidden="false" customHeight="true" outlineLevel="0" collapsed="false">
      <c r="A9" s="4" t="n">
        <v>8</v>
      </c>
      <c r="B9" s="5" t="s">
        <v>16</v>
      </c>
      <c r="C9" s="5" t="s">
        <v>17</v>
      </c>
      <c r="D9" s="0" t="n">
        <v>6.5</v>
      </c>
      <c r="E9" s="0" t="n">
        <v>2</v>
      </c>
      <c r="F9" s="0" t="n">
        <v>4.5</v>
      </c>
      <c r="G9" s="0" t="n">
        <v>1.5</v>
      </c>
      <c r="H9" s="0" t="n">
        <v>1</v>
      </c>
      <c r="I9" s="0" t="n">
        <v>5</v>
      </c>
      <c r="J9" s="0" t="n">
        <v>2</v>
      </c>
      <c r="K9" s="0" t="n">
        <f aca="false">SUM(D9:J9)</f>
        <v>22.5</v>
      </c>
      <c r="L9" s="0" t="n">
        <f aca="false">K9/N$19*5+1</f>
        <v>4.21428571428571</v>
      </c>
      <c r="N9" s="0" t="n">
        <v>7</v>
      </c>
      <c r="O9" s="0" t="n">
        <f aca="false">1+N9/2</f>
        <v>4.5</v>
      </c>
      <c r="P9" s="0" t="n">
        <v>12</v>
      </c>
    </row>
    <row r="10" customFormat="false" ht="15" hidden="false" customHeight="true" outlineLevel="0" collapsed="false">
      <c r="A10" s="4" t="n">
        <v>9</v>
      </c>
      <c r="B10" s="5" t="s">
        <v>18</v>
      </c>
      <c r="C10" s="5" t="s">
        <v>19</v>
      </c>
      <c r="D10" s="0" t="n">
        <v>7</v>
      </c>
      <c r="E10" s="0" t="n">
        <v>5</v>
      </c>
      <c r="F10" s="6" t="n">
        <v>8</v>
      </c>
      <c r="G10" s="0" t="n">
        <v>2</v>
      </c>
      <c r="H10" s="0" t="n">
        <v>2</v>
      </c>
      <c r="I10" s="0" t="n">
        <v>3.5</v>
      </c>
      <c r="J10" s="0" t="n">
        <v>0</v>
      </c>
      <c r="K10" s="0" t="n">
        <f aca="false">SUM(D10:J10)</f>
        <v>27.5</v>
      </c>
      <c r="L10" s="0" t="n">
        <f aca="false">K10/N$19*5+1</f>
        <v>4.92857142857143</v>
      </c>
      <c r="N10" s="0" t="n">
        <v>8</v>
      </c>
      <c r="O10" s="0" t="n">
        <f aca="false">1+N10/2</f>
        <v>5</v>
      </c>
      <c r="P10" s="0" t="n">
        <v>15</v>
      </c>
    </row>
    <row r="11" customFormat="false" ht="15" hidden="false" customHeight="true" outlineLevel="0" collapsed="false">
      <c r="A11" s="4" t="n">
        <v>10</v>
      </c>
      <c r="B11" s="5" t="s">
        <v>20</v>
      </c>
      <c r="C11" s="5" t="s">
        <v>21</v>
      </c>
      <c r="D11" s="0" t="n">
        <v>5.5</v>
      </c>
      <c r="E11" s="0" t="n">
        <v>7.5</v>
      </c>
      <c r="F11" s="6" t="n">
        <v>5.5</v>
      </c>
      <c r="G11" s="0" t="n">
        <v>1.5</v>
      </c>
      <c r="H11" s="0" t="n">
        <v>0.5</v>
      </c>
      <c r="I11" s="0" t="n">
        <v>2.5</v>
      </c>
      <c r="J11" s="0" t="n">
        <v>0</v>
      </c>
      <c r="K11" s="0" t="n">
        <f aca="false">SUM(D11:J11)</f>
        <v>23</v>
      </c>
      <c r="L11" s="0" t="n">
        <f aca="false">K11/N$19*5+1</f>
        <v>4.28571428571429</v>
      </c>
      <c r="N11" s="0" t="n">
        <v>9</v>
      </c>
      <c r="O11" s="0" t="n">
        <f aca="false">1+N11/2</f>
        <v>5.5</v>
      </c>
      <c r="P11" s="0" t="n">
        <v>4</v>
      </c>
    </row>
    <row r="12" customFormat="false" ht="15" hidden="false" customHeight="true" outlineLevel="0" collapsed="false">
      <c r="A12" s="4" t="n">
        <v>11</v>
      </c>
      <c r="B12" s="5" t="s">
        <v>22</v>
      </c>
      <c r="C12" s="5" t="s">
        <v>23</v>
      </c>
      <c r="D12" s="0" t="n">
        <v>5</v>
      </c>
      <c r="E12" s="0" t="n">
        <v>7</v>
      </c>
      <c r="F12" s="6" t="n">
        <v>6.5</v>
      </c>
      <c r="G12" s="0" t="n">
        <v>4</v>
      </c>
      <c r="H12" s="0" t="n">
        <v>3.5</v>
      </c>
      <c r="I12" s="0" t="n">
        <v>3</v>
      </c>
      <c r="J12" s="0" t="n">
        <v>6</v>
      </c>
      <c r="K12" s="0" t="n">
        <f aca="false">SUM(D12:J12)</f>
        <v>35</v>
      </c>
      <c r="L12" s="0" t="n">
        <f aca="false">K12/N$19*5+1</f>
        <v>6</v>
      </c>
      <c r="N12" s="0" t="n">
        <v>10</v>
      </c>
      <c r="O12" s="0" t="n">
        <f aca="false">1+N12/2</f>
        <v>6</v>
      </c>
      <c r="P12" s="0" t="n">
        <v>8</v>
      </c>
    </row>
    <row r="13" customFormat="false" ht="15" hidden="false" customHeight="true" outlineLevel="0" collapsed="false">
      <c r="A13" s="4" t="n">
        <v>12</v>
      </c>
      <c r="B13" s="5" t="s">
        <v>24</v>
      </c>
      <c r="C13" s="5" t="s">
        <v>25</v>
      </c>
      <c r="D13" s="0" t="n">
        <v>1.5</v>
      </c>
      <c r="E13" s="0" t="n">
        <v>5.5</v>
      </c>
      <c r="F13" s="6" t="n">
        <v>3</v>
      </c>
      <c r="G13" s="0" t="n">
        <v>1.5</v>
      </c>
      <c r="H13" s="0" t="n">
        <v>0.5</v>
      </c>
      <c r="I13" s="0" t="n">
        <v>3.5</v>
      </c>
      <c r="J13" s="0" t="n">
        <v>0</v>
      </c>
      <c r="K13" s="0" t="n">
        <f aca="false">SUM(D13:J13)</f>
        <v>15.5</v>
      </c>
      <c r="L13" s="0" t="n">
        <f aca="false">K13/N$19*5+1</f>
        <v>3.21428571428571</v>
      </c>
      <c r="P13" s="0" t="n">
        <v>1</v>
      </c>
    </row>
    <row r="14" customFormat="false" ht="15" hidden="false" customHeight="true" outlineLevel="0" collapsed="false">
      <c r="A14" s="4" t="n">
        <v>13</v>
      </c>
      <c r="B14" s="5" t="s">
        <v>26</v>
      </c>
      <c r="C14" s="5" t="s">
        <v>27</v>
      </c>
      <c r="D14" s="0" t="n">
        <v>7</v>
      </c>
      <c r="E14" s="0" t="n">
        <v>7.5</v>
      </c>
      <c r="F14" s="6" t="n">
        <v>3</v>
      </c>
      <c r="G14" s="0" t="n">
        <v>0</v>
      </c>
      <c r="H14" s="0" t="n">
        <v>3.5</v>
      </c>
      <c r="I14" s="0" t="n">
        <v>4</v>
      </c>
      <c r="J14" s="0" t="n">
        <v>2.5</v>
      </c>
      <c r="K14" s="0" t="n">
        <f aca="false">SUM(D14:J14)</f>
        <v>27.5</v>
      </c>
      <c r="L14" s="0" t="n">
        <f aca="false">K14/N$19*5+1</f>
        <v>4.92857142857143</v>
      </c>
      <c r="P14" s="0" t="n">
        <f aca="false">SUM(P2:P13)</f>
        <v>68</v>
      </c>
    </row>
    <row r="15" customFormat="false" ht="15" hidden="false" customHeight="true" outlineLevel="0" collapsed="false">
      <c r="A15" s="4" t="n">
        <v>14</v>
      </c>
      <c r="B15" s="5" t="s">
        <v>28</v>
      </c>
      <c r="C15" s="5" t="s">
        <v>29</v>
      </c>
      <c r="D15" s="0" t="n">
        <v>5</v>
      </c>
      <c r="E15" s="0" t="n">
        <v>3.5</v>
      </c>
      <c r="F15" s="6" t="n">
        <v>3</v>
      </c>
      <c r="G15" s="0" t="n">
        <v>0.5</v>
      </c>
      <c r="H15" s="0" t="n">
        <v>2.5</v>
      </c>
      <c r="I15" s="0" t="n">
        <v>5</v>
      </c>
      <c r="J15" s="0" t="n">
        <v>1</v>
      </c>
      <c r="K15" s="0" t="n">
        <f aca="false">SUM(D15:J15)</f>
        <v>20.5</v>
      </c>
      <c r="L15" s="0" t="n">
        <f aca="false">K15/N$19*5+1</f>
        <v>3.92857142857143</v>
      </c>
    </row>
    <row r="16" customFormat="false" ht="15" hidden="false" customHeight="true" outlineLevel="0" collapsed="false">
      <c r="A16" s="4" t="n">
        <v>15</v>
      </c>
      <c r="B16" s="5" t="s">
        <v>30</v>
      </c>
      <c r="C16" s="5" t="s">
        <v>31</v>
      </c>
      <c r="D16" s="0" t="n">
        <v>5.5</v>
      </c>
      <c r="E16" s="0" t="n">
        <v>4</v>
      </c>
      <c r="F16" s="6" t="n">
        <v>5</v>
      </c>
      <c r="G16" s="0" t="n">
        <v>2.5</v>
      </c>
      <c r="H16" s="0" t="n">
        <v>3</v>
      </c>
      <c r="I16" s="0" t="n">
        <v>3</v>
      </c>
      <c r="J16" s="0" t="n">
        <v>4</v>
      </c>
      <c r="K16" s="0" t="n">
        <f aca="false">SUM(D16:J16)</f>
        <v>27</v>
      </c>
      <c r="L16" s="0" t="n">
        <f aca="false">K16/N$19*5+1</f>
        <v>4.85714285714286</v>
      </c>
    </row>
    <row r="17" customFormat="false" ht="15" hidden="false" customHeight="true" outlineLevel="0" collapsed="false">
      <c r="A17" s="4" t="n">
        <v>16</v>
      </c>
      <c r="B17" s="5" t="s">
        <v>32</v>
      </c>
      <c r="C17" s="5" t="s">
        <v>33</v>
      </c>
      <c r="D17" s="0" t="n">
        <v>4</v>
      </c>
      <c r="E17" s="0" t="n">
        <v>3</v>
      </c>
      <c r="F17" s="6" t="n">
        <v>0.5</v>
      </c>
      <c r="G17" s="0" t="n">
        <v>1</v>
      </c>
      <c r="H17" s="0" t="n">
        <v>1</v>
      </c>
      <c r="I17" s="0" t="n">
        <v>2.5</v>
      </c>
      <c r="J17" s="0" t="n">
        <v>3</v>
      </c>
      <c r="K17" s="0" t="n">
        <f aca="false">SUM(D17:J17)</f>
        <v>15</v>
      </c>
      <c r="L17" s="0" t="n">
        <f aca="false">K17/N$19*5+1</f>
        <v>3.14285714285714</v>
      </c>
    </row>
    <row r="18" customFormat="false" ht="15" hidden="false" customHeight="true" outlineLevel="0" collapsed="false">
      <c r="A18" s="4" t="n">
        <v>17</v>
      </c>
      <c r="B18" s="5" t="s">
        <v>34</v>
      </c>
      <c r="C18" s="5" t="s">
        <v>35</v>
      </c>
      <c r="D18" s="0" t="n">
        <v>6.5</v>
      </c>
      <c r="E18" s="0" t="n">
        <v>6.5</v>
      </c>
      <c r="F18" s="6" t="n">
        <v>3.5</v>
      </c>
      <c r="G18" s="0" t="n">
        <v>2</v>
      </c>
      <c r="H18" s="0" t="n">
        <v>0</v>
      </c>
      <c r="I18" s="0" t="n">
        <v>3</v>
      </c>
      <c r="J18" s="0" t="n">
        <v>1</v>
      </c>
      <c r="K18" s="0" t="n">
        <f aca="false">SUM(D18:J18)</f>
        <v>22.5</v>
      </c>
      <c r="L18" s="0" t="n">
        <f aca="false">K18/N$19*5+1</f>
        <v>4.21428571428571</v>
      </c>
      <c r="N18" s="0" t="s">
        <v>36</v>
      </c>
    </row>
    <row r="19" customFormat="false" ht="15" hidden="false" customHeight="true" outlineLevel="0" collapsed="false">
      <c r="A19" s="4" t="n">
        <v>18</v>
      </c>
      <c r="B19" s="5" t="s">
        <v>37</v>
      </c>
      <c r="C19" s="5" t="s">
        <v>38</v>
      </c>
      <c r="D19" s="0" t="n">
        <v>7</v>
      </c>
      <c r="E19" s="0" t="n">
        <v>8</v>
      </c>
      <c r="F19" s="6" t="n">
        <v>4</v>
      </c>
      <c r="G19" s="0" t="n">
        <v>2.5</v>
      </c>
      <c r="H19" s="0" t="n">
        <v>3</v>
      </c>
      <c r="I19" s="0" t="n">
        <v>4</v>
      </c>
      <c r="J19" s="0" t="n">
        <v>1</v>
      </c>
      <c r="K19" s="0" t="n">
        <f aca="false">SUM(D19:J19)</f>
        <v>29.5</v>
      </c>
      <c r="L19" s="0" t="n">
        <f aca="false">K19/N$19*5+1</f>
        <v>5.21428571428571</v>
      </c>
      <c r="N19" s="0" t="n">
        <v>35</v>
      </c>
    </row>
    <row r="20" customFormat="false" ht="15" hidden="false" customHeight="true" outlineLevel="0" collapsed="false">
      <c r="A20" s="4" t="n">
        <v>19</v>
      </c>
      <c r="B20" s="5" t="s">
        <v>39</v>
      </c>
      <c r="C20" s="5" t="s">
        <v>40</v>
      </c>
      <c r="D20" s="0" t="n">
        <v>6</v>
      </c>
      <c r="E20" s="0" t="n">
        <v>5.5</v>
      </c>
      <c r="F20" s="6" t="n">
        <v>4.5</v>
      </c>
      <c r="G20" s="0" t="n">
        <v>0.5</v>
      </c>
      <c r="H20" s="0" t="n">
        <v>3.5</v>
      </c>
      <c r="I20" s="0" t="n">
        <v>5</v>
      </c>
      <c r="J20" s="0" t="n">
        <v>1.5</v>
      </c>
      <c r="K20" s="0" t="n">
        <f aca="false">SUM(D20:J20)</f>
        <v>26.5</v>
      </c>
      <c r="L20" s="0" t="n">
        <f aca="false">K20/N$19*5+1</f>
        <v>4.78571428571429</v>
      </c>
    </row>
    <row r="21" customFormat="false" ht="15" hidden="false" customHeight="true" outlineLevel="0" collapsed="false">
      <c r="A21" s="4" t="n">
        <v>20</v>
      </c>
      <c r="B21" s="5" t="s">
        <v>41</v>
      </c>
      <c r="C21" s="5" t="s">
        <v>42</v>
      </c>
      <c r="D21" s="0" t="n">
        <v>5.5</v>
      </c>
      <c r="E21" s="0" t="n">
        <v>8</v>
      </c>
      <c r="F21" s="6" t="n">
        <v>6.5</v>
      </c>
      <c r="G21" s="0" t="n">
        <v>1</v>
      </c>
      <c r="H21" s="0" t="n">
        <v>2</v>
      </c>
      <c r="I21" s="0" t="n">
        <v>3.5</v>
      </c>
      <c r="J21" s="0" t="n">
        <v>7</v>
      </c>
      <c r="K21" s="0" t="n">
        <f aca="false">SUM(D21:J21)</f>
        <v>33.5</v>
      </c>
      <c r="L21" s="0" t="n">
        <f aca="false">K21/N$19*5+1</f>
        <v>5.78571428571429</v>
      </c>
    </row>
    <row r="22" customFormat="false" ht="15" hidden="false" customHeight="true" outlineLevel="0" collapsed="false">
      <c r="A22" s="4" t="n">
        <v>21</v>
      </c>
      <c r="B22" s="5" t="s">
        <v>43</v>
      </c>
      <c r="C22" s="5" t="s">
        <v>44</v>
      </c>
      <c r="D22" s="0" t="n">
        <v>3.5</v>
      </c>
      <c r="E22" s="0" t="n">
        <v>4</v>
      </c>
      <c r="F22" s="6" t="n">
        <v>3</v>
      </c>
      <c r="G22" s="0" t="n">
        <v>0</v>
      </c>
      <c r="H22" s="0" t="n">
        <v>0.5</v>
      </c>
      <c r="I22" s="0" t="n">
        <v>1</v>
      </c>
      <c r="J22" s="0" t="n">
        <v>4.5</v>
      </c>
      <c r="K22" s="0" t="n">
        <f aca="false">SUM(D22:J22)</f>
        <v>16.5</v>
      </c>
      <c r="L22" s="0" t="n">
        <f aca="false">K22/N$19*5+1</f>
        <v>3.35714285714286</v>
      </c>
    </row>
    <row r="23" customFormat="false" ht="15" hidden="false" customHeight="true" outlineLevel="0" collapsed="false">
      <c r="A23" s="4" t="n">
        <v>22</v>
      </c>
      <c r="B23" s="5" t="s">
        <v>45</v>
      </c>
      <c r="C23" s="5" t="s">
        <v>46</v>
      </c>
      <c r="D23" s="0" t="n">
        <v>2</v>
      </c>
      <c r="E23" s="0" t="n">
        <v>0.5</v>
      </c>
      <c r="F23" s="6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f aca="false">SUM(D23:J23)</f>
        <v>4.5</v>
      </c>
      <c r="L23" s="0" t="n">
        <f aca="false">K23/N$19*5+1</f>
        <v>1.64285714285714</v>
      </c>
    </row>
    <row r="24" customFormat="false" ht="15" hidden="false" customHeight="true" outlineLevel="0" collapsed="false">
      <c r="A24" s="4" t="n">
        <v>23</v>
      </c>
      <c r="B24" s="5" t="s">
        <v>47</v>
      </c>
      <c r="C24" s="5" t="s">
        <v>48</v>
      </c>
      <c r="D24" s="0" t="n">
        <v>7</v>
      </c>
      <c r="E24" s="0" t="n">
        <v>3.5</v>
      </c>
      <c r="F24" s="6" t="n">
        <v>3</v>
      </c>
      <c r="G24" s="0" t="n">
        <v>0.5</v>
      </c>
      <c r="H24" s="0" t="n">
        <v>3</v>
      </c>
      <c r="I24" s="0" t="n">
        <v>2</v>
      </c>
      <c r="J24" s="0" t="n">
        <v>1.5</v>
      </c>
      <c r="K24" s="0" t="n">
        <f aca="false">SUM(D24:J24)</f>
        <v>20.5</v>
      </c>
      <c r="L24" s="0" t="n">
        <f aca="false">K24/N$19*5+1</f>
        <v>3.92857142857143</v>
      </c>
    </row>
    <row r="25" customFormat="false" ht="15" hidden="false" customHeight="true" outlineLevel="0" collapsed="false">
      <c r="A25" s="4" t="n">
        <v>24</v>
      </c>
      <c r="B25" s="5" t="s">
        <v>49</v>
      </c>
      <c r="C25" s="5" t="s">
        <v>50</v>
      </c>
      <c r="D25" s="0" t="n">
        <v>5.5</v>
      </c>
      <c r="E25" s="0" t="n">
        <v>4</v>
      </c>
      <c r="F25" s="6" t="n">
        <v>3.5</v>
      </c>
      <c r="G25" s="0" t="n">
        <v>1.5</v>
      </c>
      <c r="H25" s="0" t="n">
        <v>1.5</v>
      </c>
      <c r="I25" s="0" t="n">
        <v>1</v>
      </c>
      <c r="J25" s="0" t="n">
        <v>1.5</v>
      </c>
      <c r="K25" s="0" t="n">
        <f aca="false">SUM(D25:J25)</f>
        <v>18.5</v>
      </c>
      <c r="L25" s="0" t="n">
        <f aca="false">K25/N$19*5+1</f>
        <v>3.64285714285714</v>
      </c>
    </row>
    <row r="26" customFormat="false" ht="15" hidden="false" customHeight="true" outlineLevel="0" collapsed="false">
      <c r="A26" s="4" t="n">
        <v>25</v>
      </c>
      <c r="B26" s="5" t="s">
        <v>51</v>
      </c>
      <c r="C26" s="5" t="s">
        <v>52</v>
      </c>
      <c r="D26" s="0" t="n">
        <v>7</v>
      </c>
      <c r="E26" s="0" t="n">
        <v>1.5</v>
      </c>
      <c r="F26" s="6" t="n">
        <v>6</v>
      </c>
      <c r="G26" s="0" t="n">
        <v>1.5</v>
      </c>
      <c r="H26" s="0" t="n">
        <v>3</v>
      </c>
      <c r="I26" s="0" t="n">
        <v>3.5</v>
      </c>
      <c r="J26" s="0" t="n">
        <v>0</v>
      </c>
      <c r="K26" s="0" t="n">
        <f aca="false">SUM(D26:J26)</f>
        <v>22.5</v>
      </c>
      <c r="L26" s="0" t="n">
        <f aca="false">K26/N$19*5+1</f>
        <v>4.21428571428571</v>
      </c>
    </row>
    <row r="27" customFormat="false" ht="15" hidden="false" customHeight="true" outlineLevel="0" collapsed="false">
      <c r="A27" s="4" t="n">
        <v>26</v>
      </c>
      <c r="B27" s="5" t="s">
        <v>53</v>
      </c>
      <c r="C27" s="5" t="s">
        <v>21</v>
      </c>
      <c r="D27" s="0" t="n">
        <v>5.5</v>
      </c>
      <c r="E27" s="0" t="n">
        <v>5.5</v>
      </c>
      <c r="F27" s="6" t="n">
        <v>5</v>
      </c>
      <c r="G27" s="0" t="n">
        <v>1.5</v>
      </c>
      <c r="H27" s="0" t="n">
        <v>1.5</v>
      </c>
      <c r="I27" s="0" t="n">
        <v>3.5</v>
      </c>
      <c r="J27" s="0" t="n">
        <v>0</v>
      </c>
      <c r="K27" s="0" t="n">
        <f aca="false">SUM(D27:J27)</f>
        <v>22.5</v>
      </c>
      <c r="L27" s="0" t="n">
        <f aca="false">K27/N$19*5+1</f>
        <v>4.21428571428571</v>
      </c>
    </row>
    <row r="28" customFormat="false" ht="15" hidden="false" customHeight="true" outlineLevel="0" collapsed="false">
      <c r="A28" s="4" t="n">
        <v>27</v>
      </c>
      <c r="B28" s="5" t="s">
        <v>54</v>
      </c>
      <c r="C28" s="5" t="s">
        <v>55</v>
      </c>
      <c r="D28" s="0" t="n">
        <v>4</v>
      </c>
      <c r="E28" s="0" t="n">
        <v>5.5</v>
      </c>
      <c r="F28" s="6" t="n">
        <v>4.5</v>
      </c>
      <c r="G28" s="0" t="n">
        <v>2</v>
      </c>
      <c r="H28" s="0" t="n">
        <v>1</v>
      </c>
      <c r="I28" s="0" t="n">
        <v>0.5</v>
      </c>
      <c r="J28" s="0" t="n">
        <v>0</v>
      </c>
      <c r="K28" s="0" t="n">
        <f aca="false">SUM(D28:J28)</f>
        <v>17.5</v>
      </c>
      <c r="L28" s="0" t="n">
        <f aca="false">K28/N$19*5+1</f>
        <v>3.5</v>
      </c>
    </row>
    <row r="29" customFormat="false" ht="15" hidden="false" customHeight="true" outlineLevel="0" collapsed="false">
      <c r="A29" s="4" t="n">
        <v>28</v>
      </c>
      <c r="B29" s="5" t="s">
        <v>56</v>
      </c>
      <c r="C29" s="5" t="s">
        <v>57</v>
      </c>
      <c r="D29" s="0" t="n">
        <v>7</v>
      </c>
      <c r="E29" s="0" t="n">
        <v>4</v>
      </c>
      <c r="F29" s="6" t="n">
        <v>3.5</v>
      </c>
      <c r="G29" s="0" t="n">
        <v>1.5</v>
      </c>
      <c r="H29" s="0" t="n">
        <v>2.5</v>
      </c>
      <c r="I29" s="0" t="n">
        <v>3</v>
      </c>
      <c r="J29" s="0" t="n">
        <v>6</v>
      </c>
      <c r="K29" s="0" t="n">
        <f aca="false">SUM(D29:J29)</f>
        <v>27.5</v>
      </c>
      <c r="L29" s="0" t="n">
        <f aca="false">K29/N$19*5+1</f>
        <v>4.92857142857143</v>
      </c>
    </row>
    <row r="30" customFormat="false" ht="15" hidden="false" customHeight="true" outlineLevel="0" collapsed="false">
      <c r="A30" s="4" t="n">
        <v>29</v>
      </c>
      <c r="B30" s="5" t="s">
        <v>58</v>
      </c>
      <c r="C30" s="5" t="s">
        <v>59</v>
      </c>
      <c r="D30" s="0" t="n">
        <v>7</v>
      </c>
      <c r="E30" s="0" t="n">
        <v>2.5</v>
      </c>
      <c r="F30" s="6" t="n">
        <v>4</v>
      </c>
      <c r="G30" s="0" t="n">
        <v>1</v>
      </c>
      <c r="H30" s="0" t="n">
        <v>0.5</v>
      </c>
      <c r="I30" s="0" t="n">
        <v>1.5</v>
      </c>
      <c r="J30" s="0" t="n">
        <v>2</v>
      </c>
      <c r="K30" s="0" t="n">
        <f aca="false">SUM(D30:J30)</f>
        <v>18.5</v>
      </c>
      <c r="L30" s="0" t="n">
        <f aca="false">K30/N$19*5+1</f>
        <v>3.64285714285714</v>
      </c>
    </row>
    <row r="31" customFormat="false" ht="15" hidden="false" customHeight="true" outlineLevel="0" collapsed="false">
      <c r="A31" s="4" t="n">
        <v>30</v>
      </c>
      <c r="B31" s="5" t="s">
        <v>60</v>
      </c>
      <c r="C31" s="5" t="s">
        <v>61</v>
      </c>
      <c r="D31" s="0" t="n">
        <v>7</v>
      </c>
      <c r="E31" s="0" t="n">
        <v>2</v>
      </c>
      <c r="F31" s="6" t="n">
        <v>3</v>
      </c>
      <c r="G31" s="0" t="n">
        <v>1.5</v>
      </c>
      <c r="H31" s="0" t="n">
        <v>3</v>
      </c>
      <c r="I31" s="0" t="n">
        <v>5</v>
      </c>
      <c r="J31" s="0" t="n">
        <v>1.5</v>
      </c>
      <c r="K31" s="0" t="n">
        <f aca="false">SUM(D31:J31)</f>
        <v>23</v>
      </c>
      <c r="L31" s="0" t="n">
        <f aca="false">K31/N$19*5+1</f>
        <v>4.28571428571429</v>
      </c>
    </row>
    <row r="32" customFormat="false" ht="15" hidden="false" customHeight="true" outlineLevel="0" collapsed="false">
      <c r="A32" s="4" t="n">
        <v>31</v>
      </c>
      <c r="B32" s="5" t="s">
        <v>62</v>
      </c>
      <c r="C32" s="5" t="s">
        <v>63</v>
      </c>
      <c r="D32" s="0" t="n">
        <v>4.5</v>
      </c>
      <c r="E32" s="0" t="n">
        <v>3</v>
      </c>
      <c r="F32" s="6" t="n">
        <v>3.5</v>
      </c>
      <c r="G32" s="0" t="n">
        <v>1.5</v>
      </c>
      <c r="H32" s="0" t="n">
        <v>1</v>
      </c>
      <c r="I32" s="0" t="n">
        <v>3</v>
      </c>
      <c r="J32" s="0" t="n">
        <v>0.5</v>
      </c>
      <c r="K32" s="0" t="n">
        <f aca="false">SUM(D32:J32)</f>
        <v>17</v>
      </c>
      <c r="L32" s="0" t="n">
        <f aca="false">K32/N$19*5+1</f>
        <v>3.42857142857143</v>
      </c>
    </row>
    <row r="33" customFormat="false" ht="15" hidden="false" customHeight="true" outlineLevel="0" collapsed="false">
      <c r="A33" s="4" t="n">
        <v>32</v>
      </c>
      <c r="B33" s="5" t="s">
        <v>64</v>
      </c>
      <c r="C33" s="5" t="s">
        <v>15</v>
      </c>
      <c r="D33" s="0" t="n">
        <v>6</v>
      </c>
      <c r="E33" s="0" t="n">
        <v>8</v>
      </c>
      <c r="F33" s="6" t="n">
        <v>6.5</v>
      </c>
      <c r="G33" s="0" t="n">
        <v>1</v>
      </c>
      <c r="H33" s="0" t="n">
        <v>1</v>
      </c>
      <c r="I33" s="0" t="n">
        <v>5</v>
      </c>
      <c r="J33" s="0" t="n">
        <v>0</v>
      </c>
      <c r="K33" s="0" t="n">
        <f aca="false">SUM(D33:J33)</f>
        <v>27.5</v>
      </c>
      <c r="L33" s="0" t="n">
        <f aca="false">K33/N$19*5+1</f>
        <v>4.92857142857143</v>
      </c>
    </row>
    <row r="34" customFormat="false" ht="15" hidden="false" customHeight="true" outlineLevel="0" collapsed="false">
      <c r="A34" s="4" t="n">
        <v>33</v>
      </c>
      <c r="B34" s="5" t="s">
        <v>64</v>
      </c>
      <c r="C34" s="5" t="s">
        <v>65</v>
      </c>
      <c r="D34" s="0" t="n">
        <v>7</v>
      </c>
      <c r="E34" s="0" t="n">
        <v>4.5</v>
      </c>
      <c r="F34" s="6" t="n">
        <v>6.5</v>
      </c>
      <c r="G34" s="0" t="n">
        <v>1</v>
      </c>
      <c r="H34" s="0" t="n">
        <v>2.5</v>
      </c>
      <c r="I34" s="0" t="n">
        <v>5</v>
      </c>
      <c r="J34" s="0" t="n">
        <v>4</v>
      </c>
      <c r="K34" s="0" t="n">
        <f aca="false">SUM(D34:J34)</f>
        <v>30.5</v>
      </c>
      <c r="L34" s="0" t="n">
        <f aca="false">K34/N$19*5+1</f>
        <v>5.35714285714286</v>
      </c>
    </row>
    <row r="35" customFormat="false" ht="15" hidden="false" customHeight="true" outlineLevel="0" collapsed="false">
      <c r="A35" s="4" t="n">
        <v>34</v>
      </c>
      <c r="B35" s="5" t="s">
        <v>66</v>
      </c>
      <c r="C35" s="5" t="s">
        <v>67</v>
      </c>
      <c r="D35" s="0" t="n">
        <v>7</v>
      </c>
      <c r="E35" s="0" t="n">
        <v>5</v>
      </c>
      <c r="F35" s="6" t="n">
        <v>4</v>
      </c>
      <c r="G35" s="0" t="n">
        <v>1</v>
      </c>
      <c r="H35" s="0" t="n">
        <v>0</v>
      </c>
      <c r="I35" s="0" t="n">
        <v>4</v>
      </c>
      <c r="J35" s="0" t="n">
        <v>1.5</v>
      </c>
      <c r="K35" s="0" t="n">
        <f aca="false">SUM(D35:J35)</f>
        <v>22.5</v>
      </c>
      <c r="L35" s="0" t="n">
        <f aca="false">K35/N$19*5+1</f>
        <v>4.21428571428571</v>
      </c>
    </row>
    <row r="36" customFormat="false" ht="15" hidden="false" customHeight="true" outlineLevel="0" collapsed="false">
      <c r="A36" s="4" t="n">
        <v>35</v>
      </c>
      <c r="B36" s="5" t="s">
        <v>68</v>
      </c>
      <c r="C36" s="5" t="s">
        <v>48</v>
      </c>
      <c r="D36" s="0" t="n">
        <v>5</v>
      </c>
      <c r="E36" s="0" t="n">
        <v>5</v>
      </c>
      <c r="F36" s="6" t="n">
        <v>3</v>
      </c>
      <c r="G36" s="0" t="n">
        <v>1.5</v>
      </c>
      <c r="H36" s="0" t="n">
        <v>0.5</v>
      </c>
      <c r="I36" s="0" t="n">
        <v>5</v>
      </c>
      <c r="J36" s="0" t="n">
        <v>1</v>
      </c>
      <c r="K36" s="0" t="n">
        <f aca="false">SUM(D36:J36)</f>
        <v>21</v>
      </c>
      <c r="L36" s="0" t="n">
        <f aca="false">K36/N$19*5+1</f>
        <v>4</v>
      </c>
    </row>
    <row r="37" customFormat="false" ht="15" hidden="false" customHeight="true" outlineLevel="0" collapsed="false">
      <c r="A37" s="4" t="n">
        <v>36</v>
      </c>
      <c r="B37" s="5" t="s">
        <v>69</v>
      </c>
      <c r="C37" s="5" t="s">
        <v>70</v>
      </c>
      <c r="D37" s="0" t="n">
        <v>3</v>
      </c>
      <c r="E37" s="0" t="n">
        <v>4</v>
      </c>
      <c r="F37" s="6" t="n">
        <v>3</v>
      </c>
      <c r="G37" s="0" t="n">
        <v>1</v>
      </c>
      <c r="H37" s="0" t="n">
        <v>1</v>
      </c>
      <c r="I37" s="0" t="n">
        <v>3</v>
      </c>
      <c r="J37" s="0" t="n">
        <v>0.5</v>
      </c>
      <c r="K37" s="0" t="n">
        <f aca="false">SUM(D37:J37)</f>
        <v>15.5</v>
      </c>
      <c r="L37" s="0" t="n">
        <f aca="false">K37/N$19*5+1</f>
        <v>3.21428571428571</v>
      </c>
    </row>
    <row r="38" customFormat="false" ht="15" hidden="false" customHeight="true" outlineLevel="0" collapsed="false">
      <c r="A38" s="4" t="n">
        <v>37</v>
      </c>
      <c r="B38" s="5" t="s">
        <v>71</v>
      </c>
      <c r="C38" s="5" t="s">
        <v>72</v>
      </c>
      <c r="D38" s="0" t="n">
        <v>5.5</v>
      </c>
      <c r="E38" s="0" t="n">
        <v>2</v>
      </c>
      <c r="F38" s="6" t="n">
        <v>3.5</v>
      </c>
      <c r="G38" s="0" t="n">
        <v>2</v>
      </c>
      <c r="H38" s="0" t="n">
        <v>1.5</v>
      </c>
      <c r="I38" s="0" t="n">
        <v>2.5</v>
      </c>
      <c r="J38" s="0" t="n">
        <v>2.5</v>
      </c>
      <c r="K38" s="0" t="n">
        <f aca="false">SUM(D38:J38)</f>
        <v>19.5</v>
      </c>
      <c r="L38" s="0" t="n">
        <f aca="false">K38/N$19*5+1</f>
        <v>3.78571428571429</v>
      </c>
    </row>
    <row r="39" customFormat="false" ht="15" hidden="false" customHeight="true" outlineLevel="0" collapsed="false">
      <c r="A39" s="4" t="n">
        <v>38</v>
      </c>
      <c r="B39" s="5" t="s">
        <v>73</v>
      </c>
      <c r="C39" s="5" t="s">
        <v>74</v>
      </c>
      <c r="D39" s="0" t="n">
        <v>7</v>
      </c>
      <c r="E39" s="0" t="n">
        <v>2.5</v>
      </c>
      <c r="F39" s="6" t="n">
        <v>1</v>
      </c>
      <c r="G39" s="0" t="n">
        <v>1</v>
      </c>
      <c r="H39" s="0" t="n">
        <v>1.5</v>
      </c>
      <c r="I39" s="0" t="n">
        <v>5</v>
      </c>
      <c r="J39" s="0" t="n">
        <v>1.5</v>
      </c>
      <c r="K39" s="0" t="n">
        <f aca="false">SUM(D39:J39)</f>
        <v>19.5</v>
      </c>
      <c r="L39" s="0" t="n">
        <f aca="false">K39/N$19*5+1</f>
        <v>3.78571428571429</v>
      </c>
    </row>
    <row r="40" customFormat="false" ht="15" hidden="false" customHeight="true" outlineLevel="0" collapsed="false">
      <c r="A40" s="4" t="n">
        <v>39</v>
      </c>
      <c r="B40" s="5" t="s">
        <v>75</v>
      </c>
      <c r="C40" s="5" t="s">
        <v>76</v>
      </c>
      <c r="D40" s="0" t="n">
        <v>6</v>
      </c>
      <c r="E40" s="0" t="n">
        <v>6.5</v>
      </c>
      <c r="F40" s="6" t="n">
        <v>4.5</v>
      </c>
      <c r="G40" s="0" t="n">
        <v>1.5</v>
      </c>
      <c r="H40" s="0" t="n">
        <v>3.5</v>
      </c>
      <c r="I40" s="0" t="n">
        <v>1</v>
      </c>
      <c r="J40" s="0" t="n">
        <v>5</v>
      </c>
      <c r="K40" s="0" t="n">
        <f aca="false">SUM(D40:J40)</f>
        <v>28</v>
      </c>
      <c r="L40" s="0" t="n">
        <f aca="false">K40/N$19*5+1</f>
        <v>5</v>
      </c>
    </row>
    <row r="41" customFormat="false" ht="15" hidden="false" customHeight="true" outlineLevel="0" collapsed="false">
      <c r="A41" s="4" t="n">
        <v>40</v>
      </c>
      <c r="B41" s="5" t="s">
        <v>77</v>
      </c>
      <c r="C41" s="5" t="s">
        <v>78</v>
      </c>
      <c r="D41" s="0" t="n">
        <v>4.5</v>
      </c>
      <c r="E41" s="0" t="n">
        <v>5</v>
      </c>
      <c r="F41" s="6" t="n">
        <v>3</v>
      </c>
      <c r="G41" s="0" t="n">
        <v>0.5</v>
      </c>
      <c r="H41" s="0" t="n">
        <v>2.5</v>
      </c>
      <c r="I41" s="0" t="n">
        <v>3</v>
      </c>
      <c r="J41" s="0" t="n">
        <v>2</v>
      </c>
      <c r="K41" s="0" t="n">
        <f aca="false">SUM(D41:J41)</f>
        <v>20.5</v>
      </c>
      <c r="L41" s="0" t="n">
        <f aca="false">K41/N$19*5+1</f>
        <v>3.92857142857143</v>
      </c>
    </row>
    <row r="42" customFormat="false" ht="15" hidden="false" customHeight="true" outlineLevel="0" collapsed="false">
      <c r="A42" s="4" t="n">
        <v>41</v>
      </c>
      <c r="B42" s="5" t="s">
        <v>79</v>
      </c>
      <c r="C42" s="5" t="s">
        <v>80</v>
      </c>
      <c r="D42" s="0" t="n">
        <v>7</v>
      </c>
      <c r="E42" s="0" t="n">
        <v>2</v>
      </c>
      <c r="F42" s="6" t="n">
        <v>4.5</v>
      </c>
      <c r="G42" s="0" t="n">
        <v>2</v>
      </c>
      <c r="H42" s="0" t="n">
        <v>0.5</v>
      </c>
      <c r="I42" s="0" t="n">
        <v>2</v>
      </c>
      <c r="J42" s="0" t="n">
        <v>0</v>
      </c>
      <c r="K42" s="0" t="n">
        <f aca="false">SUM(D42:J42)</f>
        <v>18</v>
      </c>
      <c r="L42" s="0" t="n">
        <f aca="false">K42/N$19*5+1</f>
        <v>3.57142857142857</v>
      </c>
    </row>
    <row r="43" customFormat="false" ht="15" hidden="false" customHeight="true" outlineLevel="0" collapsed="false">
      <c r="A43" s="4" t="n">
        <v>42</v>
      </c>
      <c r="B43" s="5" t="s">
        <v>81</v>
      </c>
      <c r="C43" s="5" t="s">
        <v>82</v>
      </c>
      <c r="D43" s="0" t="n">
        <v>4</v>
      </c>
      <c r="E43" s="0" t="n">
        <v>4</v>
      </c>
      <c r="F43" s="6" t="n">
        <v>5.5</v>
      </c>
      <c r="G43" s="0" t="n">
        <v>1.5</v>
      </c>
      <c r="H43" s="0" t="n">
        <v>2.5</v>
      </c>
      <c r="I43" s="0" t="n">
        <v>3</v>
      </c>
      <c r="J43" s="0" t="n">
        <v>3</v>
      </c>
      <c r="K43" s="0" t="n">
        <f aca="false">SUM(D43:J43)</f>
        <v>23.5</v>
      </c>
      <c r="L43" s="0" t="n">
        <f aca="false">K43/N$19*5+1</f>
        <v>4.35714285714286</v>
      </c>
    </row>
    <row r="44" customFormat="false" ht="15" hidden="false" customHeight="true" outlineLevel="0" collapsed="false">
      <c r="A44" s="4" t="n">
        <v>43</v>
      </c>
      <c r="B44" s="5" t="s">
        <v>83</v>
      </c>
      <c r="C44" s="5" t="s">
        <v>84</v>
      </c>
      <c r="D44" s="0" t="n">
        <v>3.5</v>
      </c>
      <c r="E44" s="0" t="n">
        <v>4</v>
      </c>
      <c r="F44" s="6" t="n">
        <v>6.5</v>
      </c>
      <c r="G44" s="0" t="n">
        <v>1.5</v>
      </c>
      <c r="H44" s="0" t="n">
        <v>1</v>
      </c>
      <c r="I44" s="0" t="n">
        <v>3</v>
      </c>
      <c r="J44" s="0" t="n">
        <v>1.5</v>
      </c>
      <c r="K44" s="0" t="n">
        <f aca="false">SUM(D44:J44)</f>
        <v>21</v>
      </c>
      <c r="L44" s="0" t="n">
        <f aca="false">K44/N$19*5+1</f>
        <v>4</v>
      </c>
    </row>
    <row r="45" customFormat="false" ht="15" hidden="false" customHeight="true" outlineLevel="0" collapsed="false">
      <c r="A45" s="4" t="n">
        <v>44</v>
      </c>
      <c r="B45" s="5" t="s">
        <v>85</v>
      </c>
      <c r="C45" s="5" t="s">
        <v>86</v>
      </c>
      <c r="D45" s="0" t="n">
        <v>7</v>
      </c>
      <c r="E45" s="0" t="n">
        <v>8</v>
      </c>
      <c r="F45" s="6" t="n">
        <v>4</v>
      </c>
      <c r="G45" s="0" t="n">
        <v>2</v>
      </c>
      <c r="H45" s="0" t="n">
        <v>1.5</v>
      </c>
      <c r="I45" s="0" t="n">
        <v>5</v>
      </c>
      <c r="J45" s="0" t="n">
        <v>0</v>
      </c>
      <c r="K45" s="0" t="n">
        <f aca="false">SUM(D45:J45)</f>
        <v>27.5</v>
      </c>
      <c r="L45" s="0" t="n">
        <f aca="false">K45/N$19*5+1</f>
        <v>4.92857142857143</v>
      </c>
    </row>
    <row r="46" customFormat="false" ht="13.8" hidden="false" customHeight="false" outlineLevel="0" collapsed="false">
      <c r="A46" s="4" t="n">
        <v>45</v>
      </c>
      <c r="B46" s="5" t="s">
        <v>85</v>
      </c>
      <c r="C46" s="5" t="s">
        <v>87</v>
      </c>
      <c r="D46" s="0" t="n">
        <v>7</v>
      </c>
      <c r="E46" s="0" t="n">
        <v>7.5</v>
      </c>
      <c r="F46" s="0" t="n">
        <v>4.5</v>
      </c>
      <c r="G46" s="0" t="n">
        <v>2</v>
      </c>
      <c r="H46" s="0" t="n">
        <v>2.5</v>
      </c>
      <c r="I46" s="0" t="n">
        <v>4.5</v>
      </c>
      <c r="J46" s="0" t="n">
        <v>6</v>
      </c>
      <c r="K46" s="0" t="n">
        <f aca="false">SUM(D46:J46)</f>
        <v>34</v>
      </c>
      <c r="L46" s="0" t="n">
        <f aca="false">K46/N$19*5+1</f>
        <v>5.85714285714286</v>
      </c>
    </row>
    <row r="47" customFormat="false" ht="13.8" hidden="false" customHeight="false" outlineLevel="0" collapsed="false">
      <c r="A47" s="4" t="n">
        <v>46</v>
      </c>
      <c r="B47" s="5" t="s">
        <v>88</v>
      </c>
      <c r="C47" s="5" t="s">
        <v>89</v>
      </c>
      <c r="D47" s="0" t="n">
        <v>7</v>
      </c>
      <c r="E47" s="0" t="n">
        <v>8</v>
      </c>
      <c r="F47" s="0" t="n">
        <v>3</v>
      </c>
      <c r="G47" s="0" t="n">
        <v>1</v>
      </c>
      <c r="H47" s="0" t="n">
        <v>0.5</v>
      </c>
      <c r="I47" s="0" t="n">
        <v>4.5</v>
      </c>
      <c r="J47" s="0" t="n">
        <v>0</v>
      </c>
      <c r="K47" s="0" t="n">
        <f aca="false">SUM(D47:J47)</f>
        <v>24</v>
      </c>
      <c r="L47" s="0" t="n">
        <f aca="false">K47/N$19*5+1</f>
        <v>4.42857142857143</v>
      </c>
    </row>
    <row r="48" customFormat="false" ht="13.8" hidden="false" customHeight="false" outlineLevel="0" collapsed="false">
      <c r="A48" s="7" t="n">
        <v>47</v>
      </c>
      <c r="B48" s="5" t="s">
        <v>90</v>
      </c>
      <c r="C48" s="5" t="s">
        <v>91</v>
      </c>
      <c r="D48" s="0" t="n">
        <v>7</v>
      </c>
      <c r="E48" s="0" t="n">
        <v>8</v>
      </c>
      <c r="F48" s="0" t="n">
        <v>6.5</v>
      </c>
      <c r="G48" s="0" t="n">
        <v>1</v>
      </c>
      <c r="H48" s="0" t="n">
        <v>1.5</v>
      </c>
      <c r="I48" s="0" t="n">
        <v>1</v>
      </c>
      <c r="J48" s="0" t="n">
        <v>6</v>
      </c>
      <c r="K48" s="0" t="n">
        <f aca="false">SUM(D48:J48)</f>
        <v>31</v>
      </c>
      <c r="L48" s="0" t="n">
        <f aca="false">K48/N$19*5+1</f>
        <v>5.42857142857143</v>
      </c>
    </row>
    <row r="49" customFormat="false" ht="13.8" hidden="false" customHeight="false" outlineLevel="0" collapsed="false">
      <c r="A49" s="7" t="n">
        <v>48</v>
      </c>
      <c r="B49" s="5" t="s">
        <v>92</v>
      </c>
      <c r="C49" s="5" t="s">
        <v>29</v>
      </c>
      <c r="D49" s="0" t="n">
        <v>6</v>
      </c>
      <c r="E49" s="0" t="n">
        <v>5.5</v>
      </c>
      <c r="F49" s="0" t="n">
        <v>3</v>
      </c>
      <c r="G49" s="0" t="n">
        <v>1.5</v>
      </c>
      <c r="H49" s="0" t="n">
        <v>5</v>
      </c>
      <c r="I49" s="0" t="n">
        <v>4</v>
      </c>
      <c r="J49" s="0" t="n">
        <v>0</v>
      </c>
      <c r="K49" s="0" t="n">
        <f aca="false">SUM(D49:J49)</f>
        <v>25</v>
      </c>
      <c r="L49" s="0" t="n">
        <f aca="false">K49/N$19*5+1</f>
        <v>4.57142857142857</v>
      </c>
    </row>
    <row r="50" customFormat="false" ht="13.8" hidden="false" customHeight="false" outlineLevel="0" collapsed="false">
      <c r="A50" s="7" t="n">
        <v>49</v>
      </c>
      <c r="B50" s="5" t="s">
        <v>93</v>
      </c>
      <c r="C50" s="5" t="s">
        <v>94</v>
      </c>
      <c r="D50" s="0" t="n">
        <v>7</v>
      </c>
      <c r="E50" s="0" t="n">
        <v>8</v>
      </c>
      <c r="F50" s="0" t="n">
        <v>8</v>
      </c>
      <c r="G50" s="0" t="n">
        <v>1.5</v>
      </c>
      <c r="H50" s="0" t="n">
        <v>4</v>
      </c>
      <c r="I50" s="0" t="n">
        <v>3.5</v>
      </c>
      <c r="J50" s="0" t="n">
        <v>6</v>
      </c>
      <c r="K50" s="0" t="n">
        <f aca="false">SUM(D50:J50)</f>
        <v>38</v>
      </c>
      <c r="L50" s="0" t="n">
        <f aca="false">K50/N$19*5+1</f>
        <v>6.42857142857143</v>
      </c>
    </row>
    <row r="51" customFormat="false" ht="13.8" hidden="false" customHeight="false" outlineLevel="0" collapsed="false">
      <c r="A51" s="7" t="n">
        <v>50</v>
      </c>
      <c r="B51" s="5" t="s">
        <v>95</v>
      </c>
      <c r="C51" s="5" t="s">
        <v>48</v>
      </c>
      <c r="D51" s="0" t="n">
        <v>3.5</v>
      </c>
      <c r="E51" s="0" t="n">
        <v>3.5</v>
      </c>
      <c r="F51" s="0" t="n">
        <v>3.5</v>
      </c>
      <c r="G51" s="0" t="n">
        <v>2.5</v>
      </c>
      <c r="H51" s="0" t="n">
        <v>2.5</v>
      </c>
      <c r="I51" s="0" t="n">
        <v>3.5</v>
      </c>
      <c r="J51" s="0" t="n">
        <v>0</v>
      </c>
      <c r="K51" s="0" t="n">
        <f aca="false">SUM(D51:J51)</f>
        <v>19</v>
      </c>
      <c r="L51" s="0" t="n">
        <f aca="false">K51/N$19*5+1</f>
        <v>3.71428571428571</v>
      </c>
    </row>
    <row r="52" customFormat="false" ht="13.8" hidden="false" customHeight="false" outlineLevel="0" collapsed="false">
      <c r="A52" s="7" t="n">
        <v>51</v>
      </c>
      <c r="B52" s="8" t="s">
        <v>96</v>
      </c>
      <c r="C52" s="8" t="s">
        <v>97</v>
      </c>
      <c r="D52" s="0" t="n">
        <v>4</v>
      </c>
      <c r="E52" s="0" t="n">
        <v>2</v>
      </c>
      <c r="F52" s="0" t="n">
        <v>3.5</v>
      </c>
      <c r="G52" s="0" t="n">
        <v>1.5</v>
      </c>
      <c r="H52" s="0" t="n">
        <v>0</v>
      </c>
      <c r="I52" s="0" t="n">
        <v>1.5</v>
      </c>
      <c r="J52" s="0" t="n">
        <v>0</v>
      </c>
      <c r="K52" s="0" t="n">
        <f aca="false">SUM(D52:J52)</f>
        <v>12.5</v>
      </c>
      <c r="L52" s="0" t="n">
        <f aca="false">K52/N$19*5+1</f>
        <v>2.78571428571429</v>
      </c>
    </row>
    <row r="53" customFormat="false" ht="13.8" hidden="false" customHeight="false" outlineLevel="0" collapsed="false">
      <c r="A53" s="7" t="n">
        <v>52</v>
      </c>
      <c r="B53" s="8" t="s">
        <v>98</v>
      </c>
      <c r="C53" s="8" t="s">
        <v>99</v>
      </c>
      <c r="D53" s="0" t="n">
        <v>5</v>
      </c>
      <c r="E53" s="0" t="n">
        <v>2</v>
      </c>
      <c r="F53" s="0" t="n">
        <v>5</v>
      </c>
      <c r="G53" s="0" t="n">
        <v>1</v>
      </c>
      <c r="H53" s="0" t="n">
        <v>2</v>
      </c>
      <c r="I53" s="0" t="n">
        <v>4</v>
      </c>
      <c r="J53" s="0" t="n">
        <v>2</v>
      </c>
      <c r="K53" s="0" t="n">
        <f aca="false">SUM(D53:J53)</f>
        <v>21</v>
      </c>
      <c r="L53" s="0" t="n">
        <f aca="false">K53/N$19*5+1</f>
        <v>4</v>
      </c>
    </row>
    <row r="54" customFormat="false" ht="13.8" hidden="false" customHeight="false" outlineLevel="0" collapsed="false">
      <c r="A54" s="7" t="n">
        <v>53</v>
      </c>
      <c r="B54" s="8" t="s">
        <v>100</v>
      </c>
      <c r="C54" s="8" t="s">
        <v>101</v>
      </c>
      <c r="D54" s="0" t="n">
        <v>7</v>
      </c>
      <c r="E54" s="0" t="n">
        <v>5</v>
      </c>
      <c r="F54" s="0" t="n">
        <v>4.5</v>
      </c>
      <c r="G54" s="0" t="n">
        <v>1.5</v>
      </c>
      <c r="H54" s="0" t="n">
        <v>2.5</v>
      </c>
      <c r="I54" s="0" t="n">
        <v>1.5</v>
      </c>
      <c r="J54" s="0" t="n">
        <v>3.5</v>
      </c>
      <c r="K54" s="0" t="n">
        <f aca="false">SUM(D54:J54)</f>
        <v>25.5</v>
      </c>
      <c r="L54" s="0" t="n">
        <f aca="false">K54/N$19*5+1</f>
        <v>4.64285714285714</v>
      </c>
    </row>
    <row r="55" customFormat="false" ht="13.8" hidden="false" customHeight="false" outlineLevel="0" collapsed="false">
      <c r="A55" s="7" t="n">
        <v>54</v>
      </c>
      <c r="B55" s="8" t="s">
        <v>102</v>
      </c>
      <c r="C55" s="8" t="s">
        <v>72</v>
      </c>
      <c r="D55" s="0" t="n">
        <v>7</v>
      </c>
      <c r="E55" s="0" t="n">
        <v>8</v>
      </c>
      <c r="F55" s="0" t="n">
        <v>6</v>
      </c>
      <c r="G55" s="0" t="n">
        <v>2.5</v>
      </c>
      <c r="H55" s="0" t="n">
        <v>3.5</v>
      </c>
      <c r="I55" s="0" t="n">
        <v>3.5</v>
      </c>
      <c r="J55" s="0" t="n">
        <v>3</v>
      </c>
      <c r="K55" s="0" t="n">
        <f aca="false">SUM(D55:J55)</f>
        <v>33.5</v>
      </c>
      <c r="L55" s="0" t="n">
        <f aca="false">K55/N$19*5+1</f>
        <v>5.78571428571429</v>
      </c>
    </row>
    <row r="56" customFormat="false" ht="13.8" hidden="false" customHeight="false" outlineLevel="0" collapsed="false">
      <c r="A56" s="7" t="n">
        <v>55</v>
      </c>
      <c r="B56" s="8" t="s">
        <v>103</v>
      </c>
      <c r="C56" s="8" t="s">
        <v>104</v>
      </c>
      <c r="D56" s="0" t="n">
        <v>3.5</v>
      </c>
      <c r="E56" s="0" t="n">
        <v>2</v>
      </c>
      <c r="F56" s="0" t="n">
        <v>3</v>
      </c>
      <c r="G56" s="0" t="n">
        <v>0</v>
      </c>
      <c r="H56" s="0" t="n">
        <v>1</v>
      </c>
      <c r="I56" s="0" t="n">
        <v>1</v>
      </c>
      <c r="J56" s="0" t="n">
        <v>0</v>
      </c>
      <c r="K56" s="0" t="n">
        <f aca="false">SUM(D56:J56)</f>
        <v>10.5</v>
      </c>
      <c r="L56" s="0" t="n">
        <f aca="false">K56/N$19*5+1</f>
        <v>2.5</v>
      </c>
    </row>
    <row r="57" customFormat="false" ht="13.8" hidden="false" customHeight="false" outlineLevel="0" collapsed="false">
      <c r="A57" s="7" t="n">
        <v>56</v>
      </c>
      <c r="B57" s="8" t="s">
        <v>105</v>
      </c>
      <c r="C57" s="8" t="s">
        <v>106</v>
      </c>
      <c r="D57" s="0" t="n">
        <v>6</v>
      </c>
      <c r="E57" s="0" t="n">
        <v>0.5</v>
      </c>
      <c r="F57" s="0" t="n">
        <v>6.5</v>
      </c>
      <c r="G57" s="0" t="n">
        <v>0.5</v>
      </c>
      <c r="H57" s="0" t="n">
        <v>1</v>
      </c>
      <c r="I57" s="0" t="n">
        <v>3.5</v>
      </c>
      <c r="J57" s="0" t="n">
        <v>2</v>
      </c>
      <c r="K57" s="0" t="n">
        <f aca="false">SUM(D57:J57)</f>
        <v>20</v>
      </c>
      <c r="L57" s="0" t="n">
        <f aca="false">K57/N$19*5+1</f>
        <v>3.85714285714286</v>
      </c>
    </row>
    <row r="58" customFormat="false" ht="13.8" hidden="false" customHeight="false" outlineLevel="0" collapsed="false">
      <c r="A58" s="7" t="n">
        <v>57</v>
      </c>
      <c r="B58" s="8" t="s">
        <v>107</v>
      </c>
      <c r="C58" s="8" t="s">
        <v>108</v>
      </c>
      <c r="D58" s="0" t="n">
        <v>6</v>
      </c>
      <c r="E58" s="0" t="n">
        <v>8</v>
      </c>
      <c r="F58" s="0" t="n">
        <v>6</v>
      </c>
      <c r="G58" s="0" t="n">
        <v>2.5</v>
      </c>
      <c r="H58" s="0" t="n">
        <v>2</v>
      </c>
      <c r="I58" s="0" t="n">
        <v>5</v>
      </c>
      <c r="J58" s="0" t="n">
        <v>3</v>
      </c>
      <c r="K58" s="0" t="n">
        <f aca="false">SUM(D58:J58)</f>
        <v>32.5</v>
      </c>
      <c r="L58" s="0" t="n">
        <f aca="false">K58/N$19*5+1</f>
        <v>5.64285714285714</v>
      </c>
    </row>
    <row r="59" customFormat="false" ht="13.8" hidden="false" customHeight="false" outlineLevel="0" collapsed="false">
      <c r="A59" s="7" t="n">
        <v>58</v>
      </c>
      <c r="B59" s="8" t="s">
        <v>107</v>
      </c>
      <c r="C59" s="8" t="s">
        <v>109</v>
      </c>
      <c r="D59" s="0" t="n">
        <v>7</v>
      </c>
      <c r="E59" s="0" t="n">
        <v>4.5</v>
      </c>
      <c r="F59" s="0" t="n">
        <v>3</v>
      </c>
      <c r="G59" s="0" t="n">
        <v>1</v>
      </c>
      <c r="H59" s="0" t="n">
        <v>0.5</v>
      </c>
      <c r="I59" s="0" t="n">
        <v>5</v>
      </c>
      <c r="J59" s="0" t="n">
        <v>3</v>
      </c>
      <c r="K59" s="0" t="n">
        <f aca="false">SUM(D59:J59)</f>
        <v>24</v>
      </c>
      <c r="L59" s="0" t="n">
        <f aca="false">K59/N$19*5+1</f>
        <v>4.42857142857143</v>
      </c>
    </row>
    <row r="60" customFormat="false" ht="13.8" hidden="false" customHeight="false" outlineLevel="0" collapsed="false">
      <c r="A60" s="7" t="n">
        <v>59</v>
      </c>
      <c r="B60" s="8" t="s">
        <v>110</v>
      </c>
      <c r="C60" s="8" t="s">
        <v>21</v>
      </c>
      <c r="D60" s="0" t="n">
        <v>4.5</v>
      </c>
      <c r="E60" s="0" t="n">
        <v>4</v>
      </c>
      <c r="F60" s="0" t="n">
        <v>6.5</v>
      </c>
      <c r="G60" s="0" t="n">
        <v>1.5</v>
      </c>
      <c r="H60" s="0" t="n">
        <v>1.5</v>
      </c>
      <c r="I60" s="0" t="n">
        <v>3</v>
      </c>
      <c r="J60" s="0" t="n">
        <v>0.5</v>
      </c>
      <c r="K60" s="0" t="n">
        <f aca="false">SUM(D60:J60)</f>
        <v>21.5</v>
      </c>
      <c r="L60" s="0" t="n">
        <f aca="false">K60/N$19*5+1</f>
        <v>4.07142857142857</v>
      </c>
    </row>
    <row r="61" customFormat="false" ht="13.8" hidden="false" customHeight="false" outlineLevel="0" collapsed="false">
      <c r="A61" s="7" t="n">
        <v>60</v>
      </c>
      <c r="B61" s="8" t="s">
        <v>111</v>
      </c>
      <c r="C61" s="8" t="s">
        <v>19</v>
      </c>
      <c r="D61" s="0" t="n">
        <v>7</v>
      </c>
      <c r="E61" s="0" t="n">
        <v>3</v>
      </c>
      <c r="F61" s="0" t="n">
        <v>8</v>
      </c>
      <c r="G61" s="0" t="n">
        <v>1</v>
      </c>
      <c r="H61" s="0" t="n">
        <v>1.5</v>
      </c>
      <c r="I61" s="0" t="n">
        <v>4.5</v>
      </c>
      <c r="J61" s="0" t="n">
        <v>0</v>
      </c>
      <c r="K61" s="0" t="n">
        <f aca="false">SUM(D61:J61)</f>
        <v>25</v>
      </c>
      <c r="L61" s="0" t="n">
        <f aca="false">K61/N$19*5+1</f>
        <v>4.57142857142857</v>
      </c>
    </row>
    <row r="62" customFormat="false" ht="13.8" hidden="false" customHeight="false" outlineLevel="0" collapsed="false">
      <c r="A62" s="7" t="n">
        <v>61</v>
      </c>
      <c r="B62" s="8" t="s">
        <v>112</v>
      </c>
      <c r="C62" s="8" t="s">
        <v>113</v>
      </c>
      <c r="D62" s="0" t="n">
        <v>5</v>
      </c>
      <c r="E62" s="0" t="n">
        <v>5.5</v>
      </c>
      <c r="F62" s="0" t="n">
        <v>6.5</v>
      </c>
      <c r="G62" s="0" t="n">
        <v>1.5</v>
      </c>
      <c r="H62" s="0" t="n">
        <v>5</v>
      </c>
      <c r="I62" s="0" t="n">
        <v>5</v>
      </c>
      <c r="J62" s="0" t="n">
        <v>6.5</v>
      </c>
      <c r="K62" s="0" t="n">
        <f aca="false">SUM(D62:J62)</f>
        <v>35</v>
      </c>
      <c r="L62" s="0" t="n">
        <f aca="false">K62/N$19*5+1</f>
        <v>6</v>
      </c>
    </row>
    <row r="63" customFormat="false" ht="13.8" hidden="false" customHeight="false" outlineLevel="0" collapsed="false">
      <c r="A63" s="7" t="n">
        <v>62</v>
      </c>
      <c r="B63" s="8" t="s">
        <v>114</v>
      </c>
      <c r="C63" s="8" t="s">
        <v>115</v>
      </c>
      <c r="D63" s="0" t="n">
        <v>3</v>
      </c>
      <c r="E63" s="0" t="n">
        <v>2</v>
      </c>
      <c r="F63" s="0" t="n">
        <v>2</v>
      </c>
      <c r="G63" s="0" t="n">
        <v>1</v>
      </c>
      <c r="H63" s="0" t="n">
        <v>0.5</v>
      </c>
      <c r="I63" s="0" t="n">
        <v>3</v>
      </c>
      <c r="J63" s="0" t="n">
        <v>3.5</v>
      </c>
      <c r="K63" s="0" t="n">
        <f aca="false">SUM(D63:J63)</f>
        <v>15</v>
      </c>
      <c r="L63" s="0" t="n">
        <f aca="false">K63/N$19*5+1</f>
        <v>3.14285714285714</v>
      </c>
    </row>
    <row r="64" customFormat="false" ht="13.8" hidden="false" customHeight="false" outlineLevel="0" collapsed="false">
      <c r="A64" s="7" t="n">
        <v>63</v>
      </c>
      <c r="B64" s="8" t="s">
        <v>116</v>
      </c>
      <c r="C64" s="8" t="s">
        <v>72</v>
      </c>
      <c r="D64" s="0" t="n">
        <v>6.5</v>
      </c>
      <c r="E64" s="0" t="n">
        <v>3</v>
      </c>
      <c r="F64" s="0" t="n">
        <v>3</v>
      </c>
      <c r="G64" s="0" t="n">
        <v>1</v>
      </c>
      <c r="H64" s="0" t="n">
        <v>2.5</v>
      </c>
      <c r="I64" s="0" t="n">
        <v>3.5</v>
      </c>
      <c r="J64" s="0" t="n">
        <v>1</v>
      </c>
      <c r="K64" s="0" t="n">
        <f aca="false">SUM(D64:J64)</f>
        <v>20.5</v>
      </c>
      <c r="L64" s="0" t="n">
        <f aca="false">K64/N$19*5+1</f>
        <v>3.92857142857143</v>
      </c>
    </row>
    <row r="65" customFormat="false" ht="13.8" hidden="false" customHeight="false" outlineLevel="0" collapsed="false">
      <c r="A65" s="7" t="n">
        <v>64</v>
      </c>
      <c r="B65" s="8" t="s">
        <v>117</v>
      </c>
      <c r="C65" s="8" t="s">
        <v>65</v>
      </c>
      <c r="D65" s="0" t="n">
        <v>7</v>
      </c>
      <c r="E65" s="0" t="n">
        <v>5</v>
      </c>
      <c r="F65" s="0" t="n">
        <v>4.5</v>
      </c>
      <c r="G65" s="0" t="n">
        <v>2</v>
      </c>
      <c r="H65" s="0" t="n">
        <v>3</v>
      </c>
      <c r="I65" s="0" t="n">
        <v>5</v>
      </c>
      <c r="J65" s="0" t="n">
        <v>6</v>
      </c>
      <c r="K65" s="0" t="n">
        <f aca="false">SUM(D65:J65)</f>
        <v>32.5</v>
      </c>
      <c r="L65" s="0" t="n">
        <f aca="false">K65/N$19*5+1</f>
        <v>5.64285714285714</v>
      </c>
    </row>
    <row r="66" customFormat="false" ht="13.8" hidden="false" customHeight="false" outlineLevel="0" collapsed="false">
      <c r="A66" s="7" t="n">
        <v>65</v>
      </c>
      <c r="B66" s="8" t="s">
        <v>118</v>
      </c>
      <c r="C66" s="8" t="s">
        <v>119</v>
      </c>
      <c r="D66" s="0" t="n">
        <v>3.5</v>
      </c>
      <c r="E66" s="0" t="n">
        <v>2.5</v>
      </c>
      <c r="F66" s="0" t="n">
        <v>4</v>
      </c>
      <c r="G66" s="0" t="n">
        <v>1</v>
      </c>
      <c r="H66" s="0" t="n">
        <v>0.5</v>
      </c>
      <c r="I66" s="0" t="n">
        <v>3</v>
      </c>
      <c r="J66" s="0" t="n">
        <v>3</v>
      </c>
      <c r="K66" s="0" t="n">
        <f aca="false">SUM(D66:J66)</f>
        <v>17.5</v>
      </c>
      <c r="L66" s="0" t="n">
        <f aca="false">K66/N$19*5+1</f>
        <v>3.5</v>
      </c>
    </row>
    <row r="67" customFormat="false" ht="13.8" hidden="false" customHeight="false" outlineLevel="0" collapsed="false">
      <c r="A67" s="7" t="n">
        <v>66</v>
      </c>
      <c r="B67" s="8" t="s">
        <v>120</v>
      </c>
      <c r="C67" s="8" t="s">
        <v>121</v>
      </c>
      <c r="D67" s="0" t="n">
        <v>7</v>
      </c>
      <c r="E67" s="0" t="n">
        <v>3</v>
      </c>
      <c r="F67" s="0" t="n">
        <v>7</v>
      </c>
      <c r="G67" s="0" t="n">
        <v>1</v>
      </c>
      <c r="H67" s="0" t="n">
        <v>3</v>
      </c>
      <c r="I67" s="0" t="n">
        <v>1.5</v>
      </c>
      <c r="J67" s="0" t="n">
        <v>2</v>
      </c>
      <c r="K67" s="0" t="n">
        <f aca="false">SUM(D67:J67)</f>
        <v>24.5</v>
      </c>
      <c r="L67" s="0" t="n">
        <f aca="false">K67/N$19*5+1</f>
        <v>4.5</v>
      </c>
    </row>
    <row r="68" customFormat="false" ht="13.8" hidden="false" customHeight="false" outlineLevel="0" collapsed="false">
      <c r="A68" s="7" t="n">
        <v>67</v>
      </c>
      <c r="B68" s="8" t="s">
        <v>122</v>
      </c>
      <c r="C68" s="8" t="s">
        <v>123</v>
      </c>
      <c r="D68" s="0" t="n">
        <v>6.5</v>
      </c>
      <c r="E68" s="0" t="n">
        <v>4.5</v>
      </c>
      <c r="F68" s="0" t="n">
        <v>4.5</v>
      </c>
      <c r="G68" s="0" t="n">
        <v>0.5</v>
      </c>
      <c r="H68" s="0" t="n">
        <v>2.5</v>
      </c>
      <c r="I68" s="0" t="n">
        <v>2</v>
      </c>
      <c r="J68" s="0" t="n">
        <v>4.5</v>
      </c>
      <c r="K68" s="0" t="n">
        <f aca="false">SUM(D68:J68)</f>
        <v>25</v>
      </c>
      <c r="L68" s="0" t="n">
        <f aca="false">K68/N$19*5+1</f>
        <v>4.57142857142857</v>
      </c>
    </row>
    <row r="69" customFormat="false" ht="13.8" hidden="false" customHeight="false" outlineLevel="0" collapsed="false">
      <c r="A69" s="7" t="n">
        <v>68</v>
      </c>
      <c r="B69" s="8" t="s">
        <v>124</v>
      </c>
      <c r="C69" s="8" t="s">
        <v>125</v>
      </c>
      <c r="D69" s="0" t="n">
        <v>5.5</v>
      </c>
      <c r="E69" s="0" t="n">
        <v>2</v>
      </c>
      <c r="F69" s="0" t="n">
        <v>2.5</v>
      </c>
      <c r="G69" s="0" t="n">
        <v>1.5</v>
      </c>
      <c r="H69" s="0" t="n">
        <v>1.5</v>
      </c>
      <c r="I69" s="0" t="n">
        <v>1</v>
      </c>
      <c r="J69" s="0" t="n">
        <v>2.5</v>
      </c>
      <c r="K69" s="0" t="n">
        <f aca="false">SUM(D69:J69)</f>
        <v>16.5</v>
      </c>
      <c r="L69" s="0" t="n">
        <f aca="false">K69/N$19*5+1</f>
        <v>3.35714285714286</v>
      </c>
    </row>
    <row r="70" customFormat="false" ht="13.8" hidden="false" customHeight="false" outlineLevel="0" collapsed="false">
      <c r="K70" s="0" t="n">
        <f aca="false">AVERAGE(K2:K69)</f>
        <v>23.2867647058824</v>
      </c>
      <c r="L70" s="0" t="n">
        <f aca="false">AVERAGE(L2:L69)</f>
        <v>4.32668067226891</v>
      </c>
    </row>
    <row r="71" customFormat="false" ht="13.8" hidden="false" customHeight="false" outlineLevel="0" collapsed="false">
      <c r="D71" s="0" t="n">
        <f aca="false">AVERAGE(D2:D69)</f>
        <v>5.55147058823529</v>
      </c>
      <c r="E71" s="0" t="n">
        <f aca="false">AVERAGE(E2:E69)</f>
        <v>4.71323529411765</v>
      </c>
      <c r="F71" s="0" t="n">
        <f aca="false">AVERAGE(F2:F69)</f>
        <v>4.38970588235294</v>
      </c>
      <c r="G71" s="0" t="n">
        <f aca="false">AVERAGE(G2:G69)</f>
        <v>1.40441176470588</v>
      </c>
      <c r="H71" s="0" t="n">
        <f aca="false">AVERAGE(H2:H69)</f>
        <v>1.89705882352941</v>
      </c>
      <c r="I71" s="0" t="n">
        <f aca="false">AVERAGE(I2:I69)</f>
        <v>3.21323529411765</v>
      </c>
      <c r="J71" s="0" t="n">
        <f aca="false">AVERAGE(J2:J69)</f>
        <v>2.11764705882353</v>
      </c>
    </row>
    <row r="72" customFormat="false" ht="13.8" hidden="false" customHeight="false" outlineLevel="0" collapsed="false">
      <c r="D72" s="0" t="n">
        <v>7</v>
      </c>
      <c r="E72" s="0" t="n">
        <v>8</v>
      </c>
      <c r="F72" s="0" t="n">
        <v>8</v>
      </c>
      <c r="G72" s="0" t="n">
        <v>4</v>
      </c>
      <c r="H72" s="0" t="n">
        <v>5</v>
      </c>
      <c r="I72" s="0" t="n">
        <v>5</v>
      </c>
      <c r="J72" s="0" t="n">
        <v>8</v>
      </c>
    </row>
  </sheetData>
  <printOptions headings="false" gridLines="false" gridLinesSet="true" horizontalCentered="false" verticalCentered="false"/>
  <pageMargins left="0.708333333333333" right="0.708333333333333" top="0.7875" bottom="0.7875" header="0.315277777777778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&amp;LTeilnehmerliste MEP _________&amp;CTA.Baustatik 1&amp;RHda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H32" activeCellId="0" sqref="H32"/>
    </sheetView>
  </sheetViews>
  <sheetFormatPr defaultRowHeight="15" zeroHeight="false" outlineLevelRow="0" outlineLevelCol="0"/>
  <cols>
    <col collapsed="false" customWidth="true" hidden="false" outlineLevel="0" max="1025" min="1" style="0" width="10.62"/>
  </cols>
  <sheetData>
    <row r="1" customFormat="false" ht="15" hidden="false" customHeight="false" outlineLevel="0" collapsed="false">
      <c r="A1" s="9" t="s">
        <v>126</v>
      </c>
      <c r="B1" s="9" t="s">
        <v>127</v>
      </c>
    </row>
    <row r="2" customFormat="false" ht="15" hidden="false" customHeight="false" outlineLevel="0" collapsed="false">
      <c r="A2" s="9" t="s">
        <v>128</v>
      </c>
      <c r="B2" s="9" t="s">
        <v>129</v>
      </c>
    </row>
    <row r="3" customFormat="false" ht="15" hidden="false" customHeight="false" outlineLevel="0" collapsed="false">
      <c r="A3" s="9" t="s">
        <v>130</v>
      </c>
      <c r="B3" s="9" t="s">
        <v>131</v>
      </c>
    </row>
    <row r="4" customFormat="false" ht="15" hidden="false" customHeight="false" outlineLevel="0" collapsed="false">
      <c r="A4" s="9" t="s">
        <v>132</v>
      </c>
      <c r="B4" s="9" t="s">
        <v>133</v>
      </c>
    </row>
    <row r="5" customFormat="false" ht="15" hidden="false" customHeight="false" outlineLevel="0" collapsed="false">
      <c r="A5" s="9" t="s">
        <v>18</v>
      </c>
      <c r="B5" s="9" t="s">
        <v>19</v>
      </c>
    </row>
    <row r="6" customFormat="false" ht="15" hidden="false" customHeight="false" outlineLevel="0" collapsed="false">
      <c r="A6" s="9" t="s">
        <v>134</v>
      </c>
      <c r="B6" s="9" t="s">
        <v>135</v>
      </c>
    </row>
    <row r="7" customFormat="false" ht="15" hidden="false" customHeight="false" outlineLevel="0" collapsed="false">
      <c r="A7" s="9" t="s">
        <v>136</v>
      </c>
      <c r="B7" s="9" t="s">
        <v>137</v>
      </c>
    </row>
    <row r="8" customFormat="false" ht="15" hidden="false" customHeight="false" outlineLevel="0" collapsed="false">
      <c r="A8" s="9" t="s">
        <v>138</v>
      </c>
      <c r="B8" s="9" t="s">
        <v>139</v>
      </c>
    </row>
    <row r="9" customFormat="false" ht="15" hidden="false" customHeight="false" outlineLevel="0" collapsed="false">
      <c r="A9" s="9" t="s">
        <v>26</v>
      </c>
      <c r="B9" s="9" t="s">
        <v>27</v>
      </c>
    </row>
    <row r="10" customFormat="false" ht="15" hidden="false" customHeight="false" outlineLevel="0" collapsed="false">
      <c r="A10" s="9" t="s">
        <v>140</v>
      </c>
      <c r="B10" s="9" t="s">
        <v>141</v>
      </c>
    </row>
    <row r="11" customFormat="false" ht="15" hidden="false" customHeight="false" outlineLevel="0" collapsed="false">
      <c r="A11" s="9" t="s">
        <v>142</v>
      </c>
      <c r="B11" s="9" t="s">
        <v>127</v>
      </c>
    </row>
    <row r="12" customFormat="false" ht="15" hidden="false" customHeight="false" outlineLevel="0" collapsed="false">
      <c r="A12" s="9" t="s">
        <v>143</v>
      </c>
      <c r="B12" s="9" t="s">
        <v>144</v>
      </c>
    </row>
    <row r="13" customFormat="false" ht="15" hidden="false" customHeight="false" outlineLevel="0" collapsed="false">
      <c r="A13" s="9" t="s">
        <v>145</v>
      </c>
      <c r="B13" s="9" t="s">
        <v>146</v>
      </c>
    </row>
    <row r="14" customFormat="false" ht="15" hidden="false" customHeight="false" outlineLevel="0" collapsed="false">
      <c r="A14" s="9" t="s">
        <v>147</v>
      </c>
      <c r="B14" s="9" t="s">
        <v>148</v>
      </c>
    </row>
    <row r="15" customFormat="false" ht="15" hidden="false" customHeight="false" outlineLevel="0" collapsed="false">
      <c r="A15" s="9" t="s">
        <v>149</v>
      </c>
      <c r="B15" s="9" t="s">
        <v>150</v>
      </c>
    </row>
    <row r="16" customFormat="false" ht="15" hidden="false" customHeight="false" outlineLevel="0" collapsed="false">
      <c r="A16" s="9" t="s">
        <v>151</v>
      </c>
      <c r="B16" s="9" t="s">
        <v>152</v>
      </c>
    </row>
    <row r="17" customFormat="false" ht="15" hidden="false" customHeight="false" outlineLevel="0" collapsed="false">
      <c r="A17" s="9" t="s">
        <v>153</v>
      </c>
      <c r="B17" s="9" t="s">
        <v>133</v>
      </c>
    </row>
    <row r="18" customFormat="false" ht="15" hidden="false" customHeight="false" outlineLevel="0" collapsed="false">
      <c r="A18" s="9" t="s">
        <v>154</v>
      </c>
      <c r="B18" s="9" t="s">
        <v>141</v>
      </c>
    </row>
    <row r="19" customFormat="false" ht="15" hidden="false" customHeight="false" outlineLevel="0" collapsed="false">
      <c r="A19" s="9" t="s">
        <v>155</v>
      </c>
      <c r="B19" s="9" t="s">
        <v>156</v>
      </c>
    </row>
    <row r="20" customFormat="false" ht="15" hidden="false" customHeight="false" outlineLevel="0" collapsed="false">
      <c r="A20" s="9" t="s">
        <v>157</v>
      </c>
      <c r="B20" s="9" t="s">
        <v>158</v>
      </c>
    </row>
    <row r="21" customFormat="false" ht="15" hidden="false" customHeight="false" outlineLevel="0" collapsed="false">
      <c r="A21" s="9" t="s">
        <v>60</v>
      </c>
      <c r="B21" s="9" t="s">
        <v>61</v>
      </c>
    </row>
    <row r="22" customFormat="false" ht="15" hidden="false" customHeight="false" outlineLevel="0" collapsed="false">
      <c r="A22" s="9" t="s">
        <v>159</v>
      </c>
      <c r="B22" s="9" t="s">
        <v>160</v>
      </c>
    </row>
    <row r="23" customFormat="false" ht="15" hidden="false" customHeight="false" outlineLevel="0" collapsed="false">
      <c r="A23" s="9" t="s">
        <v>66</v>
      </c>
      <c r="B23" s="9" t="s">
        <v>67</v>
      </c>
    </row>
    <row r="24" customFormat="false" ht="15" hidden="false" customHeight="false" outlineLevel="0" collapsed="false">
      <c r="A24" s="9" t="s">
        <v>69</v>
      </c>
      <c r="B24" s="9" t="s">
        <v>70</v>
      </c>
    </row>
    <row r="25" customFormat="false" ht="15" hidden="false" customHeight="false" outlineLevel="0" collapsed="false">
      <c r="A25" s="9" t="s">
        <v>71</v>
      </c>
      <c r="B25" s="9" t="s">
        <v>161</v>
      </c>
    </row>
    <row r="26" customFormat="false" ht="15" hidden="false" customHeight="false" outlineLevel="0" collapsed="false">
      <c r="A26" s="9" t="s">
        <v>162</v>
      </c>
      <c r="B26" s="9" t="s">
        <v>163</v>
      </c>
    </row>
    <row r="27" customFormat="false" ht="15" hidden="false" customHeight="false" outlineLevel="0" collapsed="false">
      <c r="A27" s="9" t="s">
        <v>164</v>
      </c>
      <c r="B27" s="9" t="s">
        <v>165</v>
      </c>
    </row>
    <row r="28" customFormat="false" ht="15" hidden="false" customHeight="false" outlineLevel="0" collapsed="false">
      <c r="A28" s="9" t="s">
        <v>73</v>
      </c>
      <c r="B28" s="9" t="s">
        <v>74</v>
      </c>
    </row>
    <row r="29" customFormat="false" ht="15" hidden="false" customHeight="false" outlineLevel="0" collapsed="false">
      <c r="A29" s="9" t="s">
        <v>166</v>
      </c>
      <c r="B29" s="9" t="s">
        <v>146</v>
      </c>
    </row>
    <row r="30" customFormat="false" ht="15" hidden="false" customHeight="false" outlineLevel="0" collapsed="false">
      <c r="A30" s="9" t="s">
        <v>167</v>
      </c>
      <c r="B30" s="9" t="s">
        <v>168</v>
      </c>
    </row>
    <row r="31" customFormat="false" ht="15" hidden="false" customHeight="false" outlineLevel="0" collapsed="false">
      <c r="A31" s="9" t="s">
        <v>169</v>
      </c>
      <c r="B31" s="9" t="s">
        <v>170</v>
      </c>
    </row>
    <row r="32" customFormat="false" ht="15" hidden="false" customHeight="false" outlineLevel="0" collapsed="false">
      <c r="A32" s="9" t="s">
        <v>79</v>
      </c>
      <c r="B32" s="9" t="s">
        <v>80</v>
      </c>
    </row>
    <row r="33" customFormat="false" ht="15" hidden="false" customHeight="false" outlineLevel="0" collapsed="false">
      <c r="A33" s="9" t="s">
        <v>81</v>
      </c>
      <c r="B33" s="9" t="s">
        <v>82</v>
      </c>
    </row>
    <row r="34" customFormat="false" ht="15" hidden="false" customHeight="false" outlineLevel="0" collapsed="false">
      <c r="A34" s="9" t="s">
        <v>85</v>
      </c>
      <c r="B34" s="9" t="s">
        <v>171</v>
      </c>
    </row>
    <row r="35" customFormat="false" ht="15" hidden="false" customHeight="false" outlineLevel="0" collapsed="false">
      <c r="A35" s="9" t="s">
        <v>85</v>
      </c>
      <c r="B35" s="9" t="s">
        <v>86</v>
      </c>
    </row>
    <row r="36" customFormat="false" ht="15" hidden="false" customHeight="false" outlineLevel="0" collapsed="false">
      <c r="A36" s="9" t="s">
        <v>85</v>
      </c>
      <c r="B36" s="9" t="s">
        <v>172</v>
      </c>
    </row>
    <row r="37" customFormat="false" ht="15" hidden="false" customHeight="false" outlineLevel="0" collapsed="false">
      <c r="A37" s="9" t="s">
        <v>173</v>
      </c>
      <c r="B37" s="9" t="s">
        <v>25</v>
      </c>
    </row>
    <row r="38" customFormat="false" ht="15" hidden="false" customHeight="false" outlineLevel="0" collapsed="false">
      <c r="A38" s="9" t="s">
        <v>174</v>
      </c>
      <c r="B38" s="9" t="s">
        <v>175</v>
      </c>
    </row>
    <row r="39" customFormat="false" ht="15" hidden="false" customHeight="false" outlineLevel="0" collapsed="false">
      <c r="A39" s="9" t="s">
        <v>176</v>
      </c>
      <c r="B39" s="9" t="s">
        <v>177</v>
      </c>
    </row>
    <row r="40" customFormat="false" ht="15" hidden="false" customHeight="false" outlineLevel="0" collapsed="false">
      <c r="A40" s="9" t="s">
        <v>95</v>
      </c>
      <c r="B40" s="9" t="s">
        <v>178</v>
      </c>
    </row>
    <row r="41" customFormat="false" ht="15" hidden="false" customHeight="false" outlineLevel="0" collapsed="false">
      <c r="A41" s="9" t="s">
        <v>179</v>
      </c>
      <c r="B41" s="9" t="s">
        <v>168</v>
      </c>
    </row>
    <row r="42" customFormat="false" ht="15" hidden="false" customHeight="false" outlineLevel="0" collapsed="false">
      <c r="A42" s="9" t="s">
        <v>98</v>
      </c>
      <c r="B42" s="9" t="s">
        <v>99</v>
      </c>
    </row>
    <row r="43" customFormat="false" ht="15" hidden="false" customHeight="false" outlineLevel="0" collapsed="false">
      <c r="A43" s="9" t="s">
        <v>107</v>
      </c>
      <c r="B43" s="9" t="s">
        <v>108</v>
      </c>
    </row>
    <row r="44" customFormat="false" ht="15" hidden="false" customHeight="false" outlineLevel="0" collapsed="false">
      <c r="A44" s="9" t="s">
        <v>180</v>
      </c>
      <c r="B44" s="9" t="s">
        <v>25</v>
      </c>
    </row>
    <row r="45" customFormat="false" ht="15" hidden="false" customHeight="false" outlineLevel="0" collapsed="false">
      <c r="A45" s="9" t="s">
        <v>181</v>
      </c>
      <c r="B45" s="9" t="s">
        <v>178</v>
      </c>
    </row>
    <row r="46" customFormat="false" ht="15" hidden="false" customHeight="false" outlineLevel="0" collapsed="false">
      <c r="A46" s="9" t="s">
        <v>182</v>
      </c>
      <c r="B46" s="9" t="s">
        <v>82</v>
      </c>
    </row>
    <row r="47" customFormat="false" ht="15" hidden="false" customHeight="false" outlineLevel="0" collapsed="false">
      <c r="A47" s="9" t="s">
        <v>183</v>
      </c>
      <c r="B47" s="9" t="s">
        <v>184</v>
      </c>
    </row>
    <row r="48" customFormat="false" ht="15" hidden="false" customHeight="false" outlineLevel="0" collapsed="false">
      <c r="A48" s="9" t="s">
        <v>185</v>
      </c>
      <c r="B48" s="9" t="s">
        <v>186</v>
      </c>
    </row>
    <row r="49" customFormat="false" ht="15" hidden="false" customHeight="false" outlineLevel="0" collapsed="false">
      <c r="A49" s="9" t="s">
        <v>187</v>
      </c>
      <c r="B49" s="9" t="s">
        <v>188</v>
      </c>
    </row>
    <row r="50" customFormat="false" ht="15" hidden="false" customHeight="false" outlineLevel="0" collapsed="false">
      <c r="A50" s="9" t="s">
        <v>120</v>
      </c>
      <c r="B50" s="9" t="s">
        <v>121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531</TotalTime>
  <Application>LibreOffice/6.0.1.1$Linux_X86_64 LibreOffice_project/00m0$Build-1</Application>
  <Company>Hochschule Luzern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2013-01-27T15:02:47Z</dcterms:created>
  <dc:creator>Heinzmann Daniel HSLU T&amp;A</dc:creator>
  <dc:description/>
  <dc:language>de-CH</dc:language>
  <cp:lastModifiedBy/>
  <cp:lastPrinted>2018-01-22T07:56:45Z</cp:lastPrinted>
  <dcterms:modified xsi:type="dcterms:W3CDTF">2018-02-15T21:51:58Z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Hochschule Luzern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